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ftovers" sheetId="2" state="visible" r:id="rId2"/>
    <sheet xmlns:r="http://schemas.openxmlformats.org/officeDocument/2006/relationships" name="By product" sheetId="3" state="visible" r:id="rId3"/>
  </sheets>
  <definedNames>
    <definedName name="_xlnm._FilterDatabase" localSheetId="1" hidden="1">'Leftovers'!$A$1:$S$58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3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Batch leftovers to account for — 26 September 2026</t>
        </is>
      </c>
    </row>
    <row r="2">
      <c r="A2" s="2" t="inlineStr">
        <is>
          <t>Taken from the live O2S on 26 September 2026. Read only: nothing was changed on the live site.</t>
        </is>
      </c>
    </row>
    <row r="3">
      <c r="A3" s="2" t="inlineStr"/>
    </row>
    <row r="4">
      <c r="A4" s="3" t="inlineStr">
        <is>
          <t>What this is</t>
        </is>
      </c>
    </row>
    <row r="5">
      <c r="A5" s="2" t="inlineStr">
        <is>
          <t>57 batches hold 147,374 Kg that is neither packed nor accounted for. 6 of them are closed (24,412 Kg). No batch has ever been reconciled in O2S, so no loss, by-product, divert or rework has been recorded.</t>
        </is>
      </c>
    </row>
    <row r="6">
      <c r="A6" s="3" t="inlineStr">
        <is>
          <t>What to do (Production Manager — Abdul Majid)</t>
        </is>
      </c>
    </row>
    <row r="7">
      <c r="A7" s="2" t="inlineStr">
        <is>
          <t>1. For each batch, fill the 4 yellow columns: Decision, Kg, Loss reason (if loss), Note.</t>
        </is>
      </c>
    </row>
    <row r="8">
      <c r="A8" s="2" t="inlineStr">
        <is>
          <t>2. Decision is one of: Stock (real bulk still to pack), Loss, By-product, Divert, Rework. A batch can be split over several rows if needed — copy the row.</t>
        </is>
      </c>
    </row>
    <row r="9">
      <c r="A9" s="2" t="inlineStr">
        <is>
          <t>3. Sulfur Coated Urea: the suggestion is By-product to Nitro Sulfur (fines and oversize). Change it if it was loss.</t>
        </is>
      </c>
    </row>
    <row r="10">
      <c r="A10" s="2" t="inlineStr">
        <is>
          <t>4. Potassium Humate and other large leftovers are most likely real bulk stock waiting to be packed — mark Stock unless it is not there.</t>
        </is>
      </c>
    </row>
    <row r="11">
      <c r="A11" s="2" t="inlineStr">
        <is>
          <t>5. Send it back to Tahir. Once the new build is live, each row is entered in O2S with "Packing finished" on the batch, in your name.</t>
        </is>
      </c>
    </row>
    <row r="12">
      <c r="A12" s="2" t="inlineStr"/>
    </row>
    <row r="13">
      <c r="A13" s="3" t="inlineStr">
        <is>
          <t>Columns</t>
        </is>
      </c>
    </row>
    <row r="14">
      <c r="A14" s="2" t="inlineStr">
        <is>
          <t>Leftover Kg = produced − packed − already accounted for. Days since last move = days since the last packing, else since the batch closed or opened.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0" customWidth="1" min="12" max="12"/>
    <col width="11" customWidth="1" min="13" max="13"/>
    <col width="10" customWidth="1" min="14" max="14"/>
    <col width="24" customWidth="1" min="15" max="15"/>
    <col width="13" customWidth="1" min="16" max="16"/>
    <col width="10" customWidth="1" min="17" max="17"/>
    <col width="22" customWidth="1" min="18" max="18"/>
    <col width="30" customWidth="1" min="19" max="19"/>
  </cols>
  <sheetData>
    <row r="1">
      <c r="A1" s="4" t="inlineStr">
        <is>
          <t>Product</t>
        </is>
      </c>
      <c r="B1" s="4" t="inlineStr">
        <is>
          <t>Batch</t>
        </is>
      </c>
      <c r="C1" s="4" t="inlineStr">
        <is>
          <t>Type</t>
        </is>
      </c>
      <c r="D1" s="4" t="inlineStr">
        <is>
          <t>Status</t>
        </is>
      </c>
      <c r="E1" s="4" t="inlineStr">
        <is>
          <t>Opened</t>
        </is>
      </c>
      <c r="F1" s="4" t="inlineStr">
        <is>
          <t>Closed</t>
        </is>
      </c>
      <c r="G1" s="4" t="inlineStr">
        <is>
          <t>Planned Kg</t>
        </is>
      </c>
      <c r="H1" s="4" t="inlineStr">
        <is>
          <t>Produced Kg</t>
        </is>
      </c>
      <c r="I1" s="4" t="inlineStr">
        <is>
          <t>Packed Kg</t>
        </is>
      </c>
      <c r="J1" s="4" t="inlineStr">
        <is>
          <t>Lab-cleared Kg</t>
        </is>
      </c>
      <c r="K1" s="4" t="inlineStr">
        <is>
          <t>Leftover Kg</t>
        </is>
      </c>
      <c r="L1" s="4" t="inlineStr">
        <is>
          <t>Leftover % of produced</t>
        </is>
      </c>
      <c r="M1" s="4" t="inlineStr">
        <is>
          <t>Last packed</t>
        </is>
      </c>
      <c r="N1" s="4" t="inlineStr">
        <is>
          <t>Days since last move</t>
        </is>
      </c>
      <c r="O1" s="4" t="inlineStr">
        <is>
          <t>Suggested</t>
        </is>
      </c>
      <c r="P1" s="4" t="inlineStr">
        <is>
          <t>Decision</t>
        </is>
      </c>
      <c r="Q1" s="4" t="inlineStr">
        <is>
          <t>Kg</t>
        </is>
      </c>
      <c r="R1" s="4" t="inlineStr">
        <is>
          <t>Loss reason</t>
        </is>
      </c>
      <c r="S1" s="4" t="inlineStr">
        <is>
          <t>Note</t>
        </is>
      </c>
    </row>
    <row r="2">
      <c r="A2" t="inlineStr">
        <is>
          <t>Amino Acid</t>
        </is>
      </c>
      <c r="B2" t="inlineStr">
        <is>
          <t>AM26002</t>
        </is>
      </c>
      <c r="C2" t="inlineStr">
        <is>
          <t>bulk</t>
        </is>
      </c>
      <c r="D2" t="inlineStr">
        <is>
          <t>open</t>
        </is>
      </c>
      <c r="E2" t="inlineStr">
        <is>
          <t>2026-07-29</t>
        </is>
      </c>
      <c r="F2" t="inlineStr"/>
      <c r="G2" s="5" t="n">
        <v>700</v>
      </c>
      <c r="H2" s="5" t="n">
        <v>700</v>
      </c>
      <c r="I2" s="5" t="n">
        <v>73.5</v>
      </c>
      <c r="J2" s="5" t="n">
        <v>700</v>
      </c>
      <c r="K2" s="5" t="n">
        <v>626.5</v>
      </c>
      <c r="L2" s="6" t="n">
        <v>89.5</v>
      </c>
      <c r="M2" t="inlineStr">
        <is>
          <t>2026-08-21</t>
        </is>
      </c>
      <c r="N2" t="n">
        <v>36</v>
      </c>
      <c r="O2" t="inlineStr"/>
      <c r="P2" s="7" t="inlineStr"/>
      <c r="Q2" s="7" t="inlineStr"/>
      <c r="R2" s="7" t="inlineStr"/>
      <c r="S2" s="7" t="inlineStr"/>
    </row>
    <row r="3">
      <c r="A3" t="inlineStr">
        <is>
          <t>Boron 5%</t>
        </is>
      </c>
      <c r="B3" t="inlineStr">
        <is>
          <t>MAXB26002</t>
        </is>
      </c>
      <c r="C3" t="inlineStr">
        <is>
          <t>bulk</t>
        </is>
      </c>
      <c r="D3" t="inlineStr">
        <is>
          <t>open</t>
        </is>
      </c>
      <c r="E3" t="inlineStr">
        <is>
          <t>2026-09-25</t>
        </is>
      </c>
      <c r="F3" t="inlineStr"/>
      <c r="G3" s="5" t="n">
        <v>1000</v>
      </c>
      <c r="H3" s="5" t="n">
        <v>1000</v>
      </c>
      <c r="I3" s="5" t="n">
        <v>0</v>
      </c>
      <c r="J3" s="5" t="n">
        <v>1000</v>
      </c>
      <c r="K3" s="5" t="n">
        <v>1000</v>
      </c>
      <c r="L3" s="6" t="n">
        <v>100</v>
      </c>
      <c r="M3" t="inlineStr"/>
      <c r="N3" t="n">
        <v>1</v>
      </c>
      <c r="O3" t="inlineStr"/>
      <c r="P3" s="7" t="inlineStr"/>
      <c r="Q3" s="7" t="inlineStr"/>
      <c r="R3" s="7" t="inlineStr"/>
      <c r="S3" s="7" t="inlineStr"/>
    </row>
    <row r="4">
      <c r="A4" t="inlineStr">
        <is>
          <t>Boron 5%</t>
        </is>
      </c>
      <c r="B4" t="inlineStr">
        <is>
          <t>VBO26001</t>
        </is>
      </c>
      <c r="C4" t="inlineStr">
        <is>
          <t>bulk</t>
        </is>
      </c>
      <c r="D4" t="inlineStr">
        <is>
          <t>open</t>
        </is>
      </c>
      <c r="E4" t="inlineStr">
        <is>
          <t>2026-07-28</t>
        </is>
      </c>
      <c r="F4" t="inlineStr"/>
      <c r="G4" s="5" t="n">
        <v>250</v>
      </c>
      <c r="H4" s="5" t="n">
        <v>250</v>
      </c>
      <c r="I4" s="5" t="n">
        <v>146</v>
      </c>
      <c r="J4" s="5" t="n">
        <v>250</v>
      </c>
      <c r="K4" s="5" t="n">
        <v>104</v>
      </c>
      <c r="L4" s="6" t="n">
        <v>41.6</v>
      </c>
      <c r="M4" t="inlineStr">
        <is>
          <t>2026-08-28</t>
        </is>
      </c>
      <c r="N4" t="n">
        <v>29</v>
      </c>
      <c r="O4" t="inlineStr"/>
      <c r="P4" s="7" t="inlineStr"/>
      <c r="Q4" s="7" t="inlineStr"/>
      <c r="R4" s="7" t="inlineStr"/>
      <c r="S4" s="7" t="inlineStr"/>
    </row>
    <row r="5">
      <c r="A5" t="inlineStr">
        <is>
          <t>Grain Set</t>
        </is>
      </c>
      <c r="B5" t="inlineStr">
        <is>
          <t>MAXKL26005</t>
        </is>
      </c>
      <c r="C5" t="inlineStr">
        <is>
          <t>multi</t>
        </is>
      </c>
      <c r="D5" t="inlineStr">
        <is>
          <t>open</t>
        </is>
      </c>
      <c r="E5" t="inlineStr">
        <is>
          <t>2026-09-24</t>
        </is>
      </c>
      <c r="F5" t="inlineStr"/>
      <c r="G5" s="5" t="n">
        <v>2036</v>
      </c>
      <c r="H5" s="5" t="n">
        <v>2036</v>
      </c>
      <c r="I5" s="5" t="n">
        <v>982</v>
      </c>
      <c r="J5" s="5" t="n">
        <v>2036</v>
      </c>
      <c r="K5" s="5" t="n">
        <v>1054</v>
      </c>
      <c r="L5" s="6" t="n">
        <v>51.8</v>
      </c>
      <c r="M5" t="inlineStr">
        <is>
          <t>2026-09-26</t>
        </is>
      </c>
      <c r="N5" t="n">
        <v>0</v>
      </c>
      <c r="O5" t="inlineStr"/>
      <c r="P5" s="7" t="inlineStr"/>
      <c r="Q5" s="7" t="inlineStr"/>
      <c r="R5" s="7" t="inlineStr"/>
      <c r="S5" s="7" t="inlineStr"/>
    </row>
    <row r="6">
      <c r="A6" t="inlineStr">
        <is>
          <t>Liquid Phosphrous</t>
        </is>
      </c>
      <c r="B6" t="inlineStr">
        <is>
          <t>VG26002</t>
        </is>
      </c>
      <c r="C6" t="inlineStr">
        <is>
          <t>bulk</t>
        </is>
      </c>
      <c r="D6" t="inlineStr">
        <is>
          <t>open</t>
        </is>
      </c>
      <c r="E6" t="inlineStr">
        <is>
          <t>2026-09-23</t>
        </is>
      </c>
      <c r="F6" t="inlineStr"/>
      <c r="G6" s="5" t="n">
        <v>1000</v>
      </c>
      <c r="H6" s="5" t="n">
        <v>1000</v>
      </c>
      <c r="I6" s="5" t="n">
        <v>0</v>
      </c>
      <c r="J6" s="5" t="n">
        <v>1000</v>
      </c>
      <c r="K6" s="5" t="n">
        <v>1000</v>
      </c>
      <c r="L6" s="6" t="n">
        <v>100</v>
      </c>
      <c r="M6" t="inlineStr"/>
      <c r="N6" t="n">
        <v>3</v>
      </c>
      <c r="O6" t="inlineStr"/>
      <c r="P6" s="7" t="inlineStr"/>
      <c r="Q6" s="7" t="inlineStr"/>
      <c r="R6" s="7" t="inlineStr"/>
      <c r="S6" s="7" t="inlineStr"/>
    </row>
    <row r="7">
      <c r="A7" t="inlineStr">
        <is>
          <t>Nitro Sulfur</t>
        </is>
      </c>
      <c r="B7" t="inlineStr">
        <is>
          <t>NS26004</t>
        </is>
      </c>
      <c r="C7" t="inlineStr">
        <is>
          <t>bulk</t>
        </is>
      </c>
      <c r="D7" t="inlineStr">
        <is>
          <t>open</t>
        </is>
      </c>
      <c r="E7" t="inlineStr">
        <is>
          <t>2026-07-29</t>
        </is>
      </c>
      <c r="F7" t="inlineStr"/>
      <c r="G7" s="5" t="n">
        <v>4000</v>
      </c>
      <c r="H7" s="5" t="n">
        <v>4000</v>
      </c>
      <c r="I7" s="5" t="n">
        <v>3125</v>
      </c>
      <c r="J7" s="5" t="n">
        <v>4000</v>
      </c>
      <c r="K7" s="5" t="n">
        <v>875</v>
      </c>
      <c r="L7" s="6" t="n">
        <v>21.9</v>
      </c>
      <c r="M7" t="inlineStr">
        <is>
          <t>2026-07-29</t>
        </is>
      </c>
      <c r="N7" t="n">
        <v>59</v>
      </c>
      <c r="O7" t="inlineStr"/>
      <c r="P7" s="7" t="inlineStr"/>
      <c r="Q7" s="7" t="inlineStr"/>
      <c r="R7" s="7" t="inlineStr"/>
      <c r="S7" s="7" t="inlineStr"/>
    </row>
    <row r="8">
      <c r="A8" t="inlineStr">
        <is>
          <t>NP 6.32</t>
        </is>
      </c>
      <c r="B8" t="inlineStr">
        <is>
          <t>GP26007</t>
        </is>
      </c>
      <c r="C8" t="inlineStr">
        <is>
          <t>bulk</t>
        </is>
      </c>
      <c r="D8" t="inlineStr">
        <is>
          <t>open</t>
        </is>
      </c>
      <c r="E8" t="inlineStr">
        <is>
          <t>2026-09-12</t>
        </is>
      </c>
      <c r="F8" t="inlineStr"/>
      <c r="G8" s="5" t="n">
        <v>12000</v>
      </c>
      <c r="H8" s="5" t="n">
        <v>12000</v>
      </c>
      <c r="I8" s="5" t="n">
        <v>9240</v>
      </c>
      <c r="J8" s="5" t="n">
        <v>12000</v>
      </c>
      <c r="K8" s="5" t="n">
        <v>2760</v>
      </c>
      <c r="L8" s="6" t="n">
        <v>23</v>
      </c>
      <c r="M8" t="inlineStr">
        <is>
          <t>2026-09-21</t>
        </is>
      </c>
      <c r="N8" t="n">
        <v>5</v>
      </c>
      <c r="O8" t="inlineStr"/>
      <c r="P8" s="7" t="inlineStr"/>
      <c r="Q8" s="7" t="inlineStr"/>
      <c r="R8" s="7" t="inlineStr"/>
      <c r="S8" s="7" t="inlineStr"/>
    </row>
    <row r="9">
      <c r="A9" t="inlineStr">
        <is>
          <t>NP 6.32</t>
        </is>
      </c>
      <c r="B9" t="inlineStr">
        <is>
          <t>GP26008</t>
        </is>
      </c>
      <c r="C9" t="inlineStr">
        <is>
          <t>bulk</t>
        </is>
      </c>
      <c r="D9" t="inlineStr">
        <is>
          <t>open</t>
        </is>
      </c>
      <c r="E9" t="inlineStr">
        <is>
          <t>2026-09-14</t>
        </is>
      </c>
      <c r="F9" t="inlineStr"/>
      <c r="G9" s="5" t="n">
        <v>25000</v>
      </c>
      <c r="H9" s="5" t="n">
        <v>25000</v>
      </c>
      <c r="I9" s="5" t="n">
        <v>10710</v>
      </c>
      <c r="J9" s="5" t="n">
        <v>25000</v>
      </c>
      <c r="K9" s="5" t="n">
        <v>14290</v>
      </c>
      <c r="L9" s="6" t="n">
        <v>57.2</v>
      </c>
      <c r="M9" t="inlineStr">
        <is>
          <t>2026-09-26</t>
        </is>
      </c>
      <c r="N9" t="n">
        <v>0</v>
      </c>
      <c r="O9" t="inlineStr"/>
      <c r="P9" s="7" t="inlineStr"/>
      <c r="Q9" s="7" t="inlineStr"/>
      <c r="R9" s="7" t="inlineStr"/>
      <c r="S9" s="7" t="inlineStr"/>
    </row>
    <row r="10">
      <c r="A10" t="inlineStr">
        <is>
          <t>NPK 8.8.6</t>
        </is>
      </c>
      <c r="B10" t="inlineStr">
        <is>
          <t>VLNPK26002</t>
        </is>
      </c>
      <c r="C10" t="inlineStr">
        <is>
          <t>bulk</t>
        </is>
      </c>
      <c r="D10" t="inlineStr">
        <is>
          <t>open</t>
        </is>
      </c>
      <c r="E10" t="inlineStr">
        <is>
          <t>2026-07-28</t>
        </is>
      </c>
      <c r="F10" t="inlineStr"/>
      <c r="G10" s="5" t="n">
        <v>500</v>
      </c>
      <c r="H10" s="5" t="n">
        <v>500</v>
      </c>
      <c r="I10" s="5" t="n">
        <v>372</v>
      </c>
      <c r="J10" s="5" t="n">
        <v>500</v>
      </c>
      <c r="K10" s="5" t="n">
        <v>128</v>
      </c>
      <c r="L10" s="6" t="n">
        <v>25.6</v>
      </c>
      <c r="M10" t="inlineStr">
        <is>
          <t>2026-09-26</t>
        </is>
      </c>
      <c r="N10" t="n">
        <v>0</v>
      </c>
      <c r="O10" t="inlineStr"/>
      <c r="P10" s="7" t="inlineStr"/>
      <c r="Q10" s="7" t="inlineStr"/>
      <c r="R10" s="7" t="inlineStr"/>
      <c r="S10" s="7" t="inlineStr"/>
    </row>
    <row r="11">
      <c r="A11" t="inlineStr">
        <is>
          <t>Potassium Humate</t>
        </is>
      </c>
      <c r="B11" t="inlineStr">
        <is>
          <t>HG26024</t>
        </is>
      </c>
      <c r="C11" t="inlineStr">
        <is>
          <t>bulk</t>
        </is>
      </c>
      <c r="D11" t="inlineStr">
        <is>
          <t>open</t>
        </is>
      </c>
      <c r="E11" t="inlineStr">
        <is>
          <t>2026-07-28</t>
        </is>
      </c>
      <c r="F11" t="inlineStr"/>
      <c r="G11" s="5" t="n">
        <v>50000</v>
      </c>
      <c r="H11" s="5" t="n">
        <v>50000</v>
      </c>
      <c r="I11" s="5" t="n">
        <v>49340</v>
      </c>
      <c r="J11" s="5" t="n">
        <v>50000</v>
      </c>
      <c r="K11" s="5" t="n">
        <v>660</v>
      </c>
      <c r="L11" s="6" t="n">
        <v>1.3</v>
      </c>
      <c r="M11" t="inlineStr">
        <is>
          <t>2026-08-28</t>
        </is>
      </c>
      <c r="N11" t="n">
        <v>29</v>
      </c>
      <c r="O11" t="inlineStr"/>
      <c r="P11" s="7" t="inlineStr"/>
      <c r="Q11" s="7" t="inlineStr"/>
      <c r="R11" s="7" t="inlineStr"/>
      <c r="S11" s="7" t="inlineStr"/>
    </row>
    <row r="12">
      <c r="A12" t="inlineStr">
        <is>
          <t>Potassium Humate</t>
        </is>
      </c>
      <c r="B12" t="inlineStr">
        <is>
          <t>HG26025</t>
        </is>
      </c>
      <c r="C12" t="inlineStr">
        <is>
          <t>bulk</t>
        </is>
      </c>
      <c r="D12" s="8" t="inlineStr">
        <is>
          <t>closed</t>
        </is>
      </c>
      <c r="E12" t="inlineStr">
        <is>
          <t>2026-08-07</t>
        </is>
      </c>
      <c r="F12" t="inlineStr">
        <is>
          <t>2026-08-25</t>
        </is>
      </c>
      <c r="G12" s="5" t="n">
        <v>50000</v>
      </c>
      <c r="H12" s="5" t="n">
        <v>38800</v>
      </c>
      <c r="I12" s="5" t="n">
        <v>19696</v>
      </c>
      <c r="J12" s="5" t="n">
        <v>38800</v>
      </c>
      <c r="K12" s="5" t="n">
        <v>19104</v>
      </c>
      <c r="L12" s="6" t="n">
        <v>49.2</v>
      </c>
      <c r="M12" t="inlineStr">
        <is>
          <t>2026-08-29</t>
        </is>
      </c>
      <c r="N12" t="n">
        <v>28</v>
      </c>
      <c r="O12" t="inlineStr"/>
      <c r="P12" s="7" t="inlineStr"/>
      <c r="Q12" s="7" t="inlineStr"/>
      <c r="R12" s="7" t="inlineStr"/>
      <c r="S12" s="7" t="inlineStr"/>
    </row>
    <row r="13">
      <c r="A13" t="inlineStr">
        <is>
          <t>Potassium Humate</t>
        </is>
      </c>
      <c r="B13" t="inlineStr">
        <is>
          <t>HG26026</t>
        </is>
      </c>
      <c r="C13" t="inlineStr">
        <is>
          <t>bulk</t>
        </is>
      </c>
      <c r="D13" t="inlineStr">
        <is>
          <t>open</t>
        </is>
      </c>
      <c r="E13" t="inlineStr">
        <is>
          <t>2026-08-21</t>
        </is>
      </c>
      <c r="F13" t="inlineStr"/>
      <c r="G13" s="5" t="n">
        <v>50000</v>
      </c>
      <c r="H13" s="5" t="n">
        <v>50000</v>
      </c>
      <c r="I13" s="5" t="n">
        <v>49000</v>
      </c>
      <c r="J13" s="5" t="n">
        <v>50000</v>
      </c>
      <c r="K13" s="5" t="n">
        <v>1000</v>
      </c>
      <c r="L13" s="6" t="n">
        <v>2</v>
      </c>
      <c r="M13" t="inlineStr">
        <is>
          <t>2026-09-11</t>
        </is>
      </c>
      <c r="N13" t="n">
        <v>15</v>
      </c>
      <c r="O13" t="inlineStr"/>
      <c r="P13" s="7" t="inlineStr"/>
      <c r="Q13" s="7" t="inlineStr"/>
      <c r="R13" s="7" t="inlineStr"/>
      <c r="S13" s="7" t="inlineStr"/>
    </row>
    <row r="14">
      <c r="A14" t="inlineStr">
        <is>
          <t>Potassium Humate</t>
        </is>
      </c>
      <c r="B14" t="inlineStr">
        <is>
          <t>HG26027</t>
        </is>
      </c>
      <c r="C14" t="inlineStr">
        <is>
          <t>bulk</t>
        </is>
      </c>
      <c r="D14" s="8" t="inlineStr">
        <is>
          <t>closed</t>
        </is>
      </c>
      <c r="E14" t="inlineStr">
        <is>
          <t>2026-08-21</t>
        </is>
      </c>
      <c r="F14" t="inlineStr">
        <is>
          <t>2026-09-07</t>
        </is>
      </c>
      <c r="G14" s="5" t="n">
        <v>25000</v>
      </c>
      <c r="H14" s="5" t="n">
        <v>24700</v>
      </c>
      <c r="I14" s="5" t="n">
        <v>23999</v>
      </c>
      <c r="J14" s="5" t="n">
        <v>24700</v>
      </c>
      <c r="K14" s="5" t="n">
        <v>701</v>
      </c>
      <c r="L14" s="6" t="n">
        <v>2.8</v>
      </c>
      <c r="M14" t="inlineStr">
        <is>
          <t>2026-09-01</t>
        </is>
      </c>
      <c r="N14" t="n">
        <v>25</v>
      </c>
      <c r="O14" t="inlineStr"/>
      <c r="P14" s="7" t="inlineStr"/>
      <c r="Q14" s="7" t="inlineStr"/>
      <c r="R14" s="7" t="inlineStr"/>
      <c r="S14" s="7" t="inlineStr"/>
    </row>
    <row r="15">
      <c r="A15" t="inlineStr">
        <is>
          <t>Potassium Humate</t>
        </is>
      </c>
      <c r="B15" t="inlineStr">
        <is>
          <t>HG26029</t>
        </is>
      </c>
      <c r="C15" t="inlineStr">
        <is>
          <t>bulk</t>
        </is>
      </c>
      <c r="D15" s="8" t="inlineStr">
        <is>
          <t>closed</t>
        </is>
      </c>
      <c r="E15" t="inlineStr">
        <is>
          <t>2026-08-31</t>
        </is>
      </c>
      <c r="F15" t="inlineStr">
        <is>
          <t>2026-09-11</t>
        </is>
      </c>
      <c r="G15" s="5" t="n">
        <v>25000</v>
      </c>
      <c r="H15" s="5" t="n">
        <v>25000</v>
      </c>
      <c r="I15" s="5" t="n">
        <v>24393</v>
      </c>
      <c r="J15" s="5" t="n">
        <v>25000</v>
      </c>
      <c r="K15" s="5" t="n">
        <v>607</v>
      </c>
      <c r="L15" s="6" t="n">
        <v>2.4</v>
      </c>
      <c r="M15" t="inlineStr">
        <is>
          <t>2026-09-11</t>
        </is>
      </c>
      <c r="N15" t="n">
        <v>15</v>
      </c>
      <c r="O15" t="inlineStr"/>
      <c r="P15" s="7" t="inlineStr"/>
      <c r="Q15" s="7" t="inlineStr"/>
      <c r="R15" s="7" t="inlineStr"/>
      <c r="S15" s="7" t="inlineStr"/>
    </row>
    <row r="16">
      <c r="A16" t="inlineStr">
        <is>
          <t>Potassium Humate</t>
        </is>
      </c>
      <c r="B16" t="inlineStr">
        <is>
          <t>HG26030</t>
        </is>
      </c>
      <c r="C16" t="inlineStr">
        <is>
          <t>bulk</t>
        </is>
      </c>
      <c r="D16" t="inlineStr">
        <is>
          <t>open</t>
        </is>
      </c>
      <c r="E16" t="inlineStr">
        <is>
          <t>2026-09-07</t>
        </is>
      </c>
      <c r="F16" t="inlineStr"/>
      <c r="G16" s="5" t="n">
        <v>33000</v>
      </c>
      <c r="H16" s="5" t="n">
        <v>33000</v>
      </c>
      <c r="I16" s="5" t="n">
        <v>31984</v>
      </c>
      <c r="J16" s="5" t="n">
        <v>33000</v>
      </c>
      <c r="K16" s="5" t="n">
        <v>1016</v>
      </c>
      <c r="L16" s="6" t="n">
        <v>3.1</v>
      </c>
      <c r="M16" t="inlineStr">
        <is>
          <t>2026-09-21</t>
        </is>
      </c>
      <c r="N16" t="n">
        <v>5</v>
      </c>
      <c r="O16" t="inlineStr"/>
      <c r="P16" s="7" t="inlineStr"/>
      <c r="Q16" s="7" t="inlineStr"/>
      <c r="R16" s="7" t="inlineStr"/>
      <c r="S16" s="7" t="inlineStr"/>
    </row>
    <row r="17">
      <c r="A17" t="inlineStr">
        <is>
          <t>Potassium Humate</t>
        </is>
      </c>
      <c r="B17" t="inlineStr">
        <is>
          <t>HG26031</t>
        </is>
      </c>
      <c r="C17" t="inlineStr">
        <is>
          <t>bulk</t>
        </is>
      </c>
      <c r="D17" t="inlineStr">
        <is>
          <t>open</t>
        </is>
      </c>
      <c r="E17" t="inlineStr">
        <is>
          <t>2026-09-08</t>
        </is>
      </c>
      <c r="F17" t="inlineStr"/>
      <c r="G17" s="5" t="n">
        <v>40000</v>
      </c>
      <c r="H17" s="5" t="n">
        <v>40000</v>
      </c>
      <c r="I17" s="5" t="n">
        <v>26008</v>
      </c>
      <c r="J17" s="5" t="n">
        <v>40000</v>
      </c>
      <c r="K17" s="5" t="n">
        <v>13992</v>
      </c>
      <c r="L17" s="6" t="n">
        <v>35</v>
      </c>
      <c r="M17" t="inlineStr">
        <is>
          <t>2026-09-23</t>
        </is>
      </c>
      <c r="N17" t="n">
        <v>3</v>
      </c>
      <c r="O17" t="inlineStr"/>
      <c r="P17" s="7" t="inlineStr"/>
      <c r="Q17" s="7" t="inlineStr"/>
      <c r="R17" s="7" t="inlineStr"/>
      <c r="S17" s="7" t="inlineStr"/>
    </row>
    <row r="18">
      <c r="A18" t="inlineStr">
        <is>
          <t>Potassium Humate</t>
        </is>
      </c>
      <c r="B18" t="inlineStr">
        <is>
          <t>HG26032</t>
        </is>
      </c>
      <c r="C18" t="inlineStr">
        <is>
          <t>bulk</t>
        </is>
      </c>
      <c r="D18" t="inlineStr">
        <is>
          <t>open</t>
        </is>
      </c>
      <c r="E18" t="inlineStr">
        <is>
          <t>2026-09-12</t>
        </is>
      </c>
      <c r="F18" t="inlineStr"/>
      <c r="G18" s="5" t="n">
        <v>30000</v>
      </c>
      <c r="H18" s="5" t="n">
        <v>30000</v>
      </c>
      <c r="I18" s="5" t="n">
        <v>28544</v>
      </c>
      <c r="J18" s="5" t="n">
        <v>30000</v>
      </c>
      <c r="K18" s="5" t="n">
        <v>1456</v>
      </c>
      <c r="L18" s="6" t="n">
        <v>4.9</v>
      </c>
      <c r="M18" t="inlineStr">
        <is>
          <t>2026-09-25</t>
        </is>
      </c>
      <c r="N18" t="n">
        <v>1</v>
      </c>
      <c r="O18" t="inlineStr"/>
      <c r="P18" s="7" t="inlineStr"/>
      <c r="Q18" s="7" t="inlineStr"/>
      <c r="R18" s="7" t="inlineStr"/>
      <c r="S18" s="7" t="inlineStr"/>
    </row>
    <row r="19">
      <c r="A19" t="inlineStr">
        <is>
          <t>Potassium Humate</t>
        </is>
      </c>
      <c r="B19" t="inlineStr">
        <is>
          <t>HG26033</t>
        </is>
      </c>
      <c r="C19" t="inlineStr">
        <is>
          <t>bulk</t>
        </is>
      </c>
      <c r="D19" t="inlineStr">
        <is>
          <t>open</t>
        </is>
      </c>
      <c r="E19" t="inlineStr">
        <is>
          <t>2026-09-15</t>
        </is>
      </c>
      <c r="F19" t="inlineStr"/>
      <c r="G19" s="5" t="n">
        <v>20000</v>
      </c>
      <c r="H19" s="5" t="n">
        <v>20000</v>
      </c>
      <c r="I19" s="5" t="n">
        <v>0</v>
      </c>
      <c r="J19" s="5" t="n">
        <v>20000</v>
      </c>
      <c r="K19" s="5" t="n">
        <v>20000</v>
      </c>
      <c r="L19" s="6" t="n">
        <v>100</v>
      </c>
      <c r="M19" t="inlineStr"/>
      <c r="N19" t="n">
        <v>11</v>
      </c>
      <c r="O19" t="inlineStr"/>
      <c r="P19" s="7" t="inlineStr"/>
      <c r="Q19" s="7" t="inlineStr"/>
      <c r="R19" s="7" t="inlineStr"/>
      <c r="S19" s="7" t="inlineStr"/>
    </row>
    <row r="20">
      <c r="A20" t="inlineStr">
        <is>
          <t>Potassium Humate</t>
        </is>
      </c>
      <c r="B20" t="inlineStr">
        <is>
          <t>HG26034</t>
        </is>
      </c>
      <c r="C20" t="inlineStr">
        <is>
          <t>bulk</t>
        </is>
      </c>
      <c r="D20" t="inlineStr">
        <is>
          <t>open</t>
        </is>
      </c>
      <c r="E20" t="inlineStr">
        <is>
          <t>2026-09-16</t>
        </is>
      </c>
      <c r="F20" t="inlineStr"/>
      <c r="G20" s="5" t="n">
        <v>10000</v>
      </c>
      <c r="H20" s="5" t="n">
        <v>10000</v>
      </c>
      <c r="I20" s="5" t="n">
        <v>0</v>
      </c>
      <c r="J20" s="5" t="n">
        <v>10000</v>
      </c>
      <c r="K20" s="5" t="n">
        <v>10000</v>
      </c>
      <c r="L20" s="6" t="n">
        <v>100</v>
      </c>
      <c r="M20" t="inlineStr"/>
      <c r="N20" t="n">
        <v>10</v>
      </c>
      <c r="O20" t="inlineStr"/>
      <c r="P20" s="7" t="inlineStr"/>
      <c r="Q20" s="7" t="inlineStr"/>
      <c r="R20" s="7" t="inlineStr"/>
      <c r="S20" s="7" t="inlineStr"/>
    </row>
    <row r="21">
      <c r="A21" t="inlineStr">
        <is>
          <t>Potassium Humate</t>
        </is>
      </c>
      <c r="B21" t="inlineStr">
        <is>
          <t>HG26035</t>
        </is>
      </c>
      <c r="C21" t="inlineStr">
        <is>
          <t>bulk</t>
        </is>
      </c>
      <c r="D21" t="inlineStr">
        <is>
          <t>open</t>
        </is>
      </c>
      <c r="E21" t="inlineStr">
        <is>
          <t>2026-09-19</t>
        </is>
      </c>
      <c r="F21" t="inlineStr"/>
      <c r="G21" s="5" t="n">
        <v>20000</v>
      </c>
      <c r="H21" s="5" t="n">
        <v>20000</v>
      </c>
      <c r="I21" s="5" t="n">
        <v>0</v>
      </c>
      <c r="J21" s="5" t="n">
        <v>20000</v>
      </c>
      <c r="K21" s="5" t="n">
        <v>20000</v>
      </c>
      <c r="L21" s="6" t="n">
        <v>100</v>
      </c>
      <c r="M21" t="inlineStr"/>
      <c r="N21" t="n">
        <v>7</v>
      </c>
      <c r="O21" t="inlineStr"/>
      <c r="P21" s="7" t="inlineStr"/>
      <c r="Q21" s="7" t="inlineStr"/>
      <c r="R21" s="7" t="inlineStr"/>
      <c r="S21" s="7" t="inlineStr"/>
    </row>
    <row r="22">
      <c r="A22" t="inlineStr">
        <is>
          <t>Potassium Humate</t>
        </is>
      </c>
      <c r="B22" t="inlineStr">
        <is>
          <t>HG26036</t>
        </is>
      </c>
      <c r="C22" t="inlineStr">
        <is>
          <t>bulk</t>
        </is>
      </c>
      <c r="D22" t="inlineStr">
        <is>
          <t>open</t>
        </is>
      </c>
      <c r="E22" t="inlineStr">
        <is>
          <t>2026-09-25</t>
        </is>
      </c>
      <c r="F22" t="inlineStr"/>
      <c r="G22" s="5" t="n">
        <v>40000</v>
      </c>
      <c r="H22" s="5" t="n">
        <v>13000</v>
      </c>
      <c r="I22" s="5" t="n">
        <v>0</v>
      </c>
      <c r="J22" s="5" t="n">
        <v>0</v>
      </c>
      <c r="K22" s="5" t="n">
        <v>13000</v>
      </c>
      <c r="L22" s="6" t="n">
        <v>100</v>
      </c>
      <c r="M22" t="inlineStr"/>
      <c r="N22" t="n">
        <v>1</v>
      </c>
      <c r="O22" t="inlineStr"/>
      <c r="P22" s="7" t="inlineStr"/>
      <c r="Q22" s="7" t="inlineStr"/>
      <c r="R22" s="7" t="inlineStr"/>
      <c r="S22" s="7" t="inlineStr"/>
    </row>
    <row r="23">
      <c r="A23" t="inlineStr">
        <is>
          <t>Potassium Humate Liquid</t>
        </is>
      </c>
      <c r="B23" t="inlineStr">
        <is>
          <t>RUHAL26006</t>
        </is>
      </c>
      <c r="C23" t="inlineStr">
        <is>
          <t>bulk</t>
        </is>
      </c>
      <c r="D23" t="inlineStr">
        <is>
          <t>open</t>
        </is>
      </c>
      <c r="E23" t="inlineStr">
        <is>
          <t>2026-09-24</t>
        </is>
      </c>
      <c r="F23" t="inlineStr"/>
      <c r="G23" s="5" t="n">
        <v>10000</v>
      </c>
      <c r="H23" s="5" t="n">
        <v>10000</v>
      </c>
      <c r="I23" s="5" t="n">
        <v>4600</v>
      </c>
      <c r="J23" s="5" t="n">
        <v>10000</v>
      </c>
      <c r="K23" s="5" t="n">
        <v>5400</v>
      </c>
      <c r="L23" s="6" t="n">
        <v>54</v>
      </c>
      <c r="M23" t="inlineStr">
        <is>
          <t>2026-09-25</t>
        </is>
      </c>
      <c r="N23" t="n">
        <v>1</v>
      </c>
      <c r="O23" t="inlineStr"/>
      <c r="P23" s="7" t="inlineStr"/>
      <c r="Q23" s="7" t="inlineStr"/>
      <c r="R23" s="7" t="inlineStr"/>
      <c r="S23" s="7" t="inlineStr"/>
    </row>
    <row r="24">
      <c r="A24" t="inlineStr">
        <is>
          <t>Potassium Humate Liquid</t>
        </is>
      </c>
      <c r="B24" t="inlineStr">
        <is>
          <t>VB26004</t>
        </is>
      </c>
      <c r="C24" t="inlineStr">
        <is>
          <t>bulk</t>
        </is>
      </c>
      <c r="D24" s="8" t="inlineStr">
        <is>
          <t>closed</t>
        </is>
      </c>
      <c r="E24" t="inlineStr">
        <is>
          <t>2026-07-28</t>
        </is>
      </c>
      <c r="F24" t="inlineStr">
        <is>
          <t>2026-08-25</t>
        </is>
      </c>
      <c r="G24" s="5" t="n">
        <v>5000</v>
      </c>
      <c r="H24" s="5" t="n">
        <v>5000</v>
      </c>
      <c r="I24" s="5" t="n">
        <v>2000</v>
      </c>
      <c r="J24" s="5" t="n">
        <v>5000</v>
      </c>
      <c r="K24" s="5" t="n">
        <v>3000</v>
      </c>
      <c r="L24" s="6" t="n">
        <v>60</v>
      </c>
      <c r="M24" t="inlineStr">
        <is>
          <t>2026-08-25</t>
        </is>
      </c>
      <c r="N24" t="n">
        <v>32</v>
      </c>
      <c r="O24" t="inlineStr"/>
      <c r="P24" s="7" t="inlineStr"/>
      <c r="Q24" s="7" t="inlineStr"/>
      <c r="R24" s="7" t="inlineStr"/>
      <c r="S24" s="7" t="inlineStr"/>
    </row>
    <row r="25">
      <c r="A25" t="inlineStr">
        <is>
          <t>Sulfur 70%</t>
        </is>
      </c>
      <c r="B25" t="inlineStr">
        <is>
          <t>GS10299</t>
        </is>
      </c>
      <c r="C25" t="inlineStr">
        <is>
          <t>bulk</t>
        </is>
      </c>
      <c r="D25" t="inlineStr">
        <is>
          <t>open</t>
        </is>
      </c>
      <c r="E25" t="inlineStr">
        <is>
          <t>2026-07-29</t>
        </is>
      </c>
      <c r="F25" t="inlineStr"/>
      <c r="G25" s="5" t="n">
        <v>900</v>
      </c>
      <c r="H25" s="5" t="n">
        <v>900</v>
      </c>
      <c r="I25" s="5" t="n">
        <v>624</v>
      </c>
      <c r="J25" s="5" t="n">
        <v>900</v>
      </c>
      <c r="K25" s="5" t="n">
        <v>276</v>
      </c>
      <c r="L25" s="6" t="n">
        <v>30.7</v>
      </c>
      <c r="M25" t="inlineStr">
        <is>
          <t>2026-07-31</t>
        </is>
      </c>
      <c r="N25" t="n">
        <v>57</v>
      </c>
      <c r="O25" t="inlineStr"/>
      <c r="P25" s="7" t="inlineStr"/>
      <c r="Q25" s="7" t="inlineStr"/>
      <c r="R25" s="7" t="inlineStr"/>
      <c r="S25" s="7" t="inlineStr"/>
    </row>
    <row r="26">
      <c r="A26" t="inlineStr">
        <is>
          <t>Sulfur Coated Urea</t>
        </is>
      </c>
      <c r="B26" t="inlineStr">
        <is>
          <t>VU26163</t>
        </is>
      </c>
      <c r="C26" t="inlineStr">
        <is>
          <t>bulk</t>
        </is>
      </c>
      <c r="D26" t="inlineStr">
        <is>
          <t>open</t>
        </is>
      </c>
      <c r="E26" t="inlineStr">
        <is>
          <t>2026-07-28</t>
        </is>
      </c>
      <c r="F26" t="inlineStr"/>
      <c r="G26" s="5" t="n">
        <v>7000</v>
      </c>
      <c r="H26" s="5" t="n">
        <v>7000</v>
      </c>
      <c r="I26" s="5" t="n">
        <v>6550</v>
      </c>
      <c r="J26" s="5" t="n">
        <v>7000</v>
      </c>
      <c r="K26" s="5" t="n">
        <v>450</v>
      </c>
      <c r="L26" s="6" t="n">
        <v>6.4</v>
      </c>
      <c r="M26" t="inlineStr">
        <is>
          <t>2026-07-29</t>
        </is>
      </c>
      <c r="N26" t="n">
        <v>59</v>
      </c>
      <c r="O26" t="inlineStr">
        <is>
          <t>By-product to Nitro Sulfur</t>
        </is>
      </c>
      <c r="P26" s="7" t="inlineStr"/>
      <c r="Q26" s="7" t="inlineStr"/>
      <c r="R26" s="7" t="inlineStr"/>
      <c r="S26" s="7" t="inlineStr"/>
    </row>
    <row r="27">
      <c r="A27" t="inlineStr">
        <is>
          <t>Sulfur Coated Urea</t>
        </is>
      </c>
      <c r="B27" t="inlineStr">
        <is>
          <t>VU26164</t>
        </is>
      </c>
      <c r="C27" t="inlineStr">
        <is>
          <t>bulk</t>
        </is>
      </c>
      <c r="D27" t="inlineStr">
        <is>
          <t>open</t>
        </is>
      </c>
      <c r="E27" t="inlineStr">
        <is>
          <t>2026-07-28</t>
        </is>
      </c>
      <c r="F27" t="inlineStr"/>
      <c r="G27" s="5" t="n">
        <v>7000</v>
      </c>
      <c r="H27" s="5" t="n">
        <v>7000</v>
      </c>
      <c r="I27" s="5" t="n">
        <v>6650</v>
      </c>
      <c r="J27" s="5" t="n">
        <v>7000</v>
      </c>
      <c r="K27" s="5" t="n">
        <v>350</v>
      </c>
      <c r="L27" s="6" t="n">
        <v>5</v>
      </c>
      <c r="M27" t="inlineStr">
        <is>
          <t>2026-07-29</t>
        </is>
      </c>
      <c r="N27" t="n">
        <v>59</v>
      </c>
      <c r="O27" t="inlineStr">
        <is>
          <t>By-product to Nitro Sulfur</t>
        </is>
      </c>
      <c r="P27" s="7" t="inlineStr"/>
      <c r="Q27" s="7" t="inlineStr"/>
      <c r="R27" s="7" t="inlineStr"/>
      <c r="S27" s="7" t="inlineStr"/>
    </row>
    <row r="28">
      <c r="A28" t="inlineStr">
        <is>
          <t>Sulfur Coated Urea</t>
        </is>
      </c>
      <c r="B28" t="inlineStr">
        <is>
          <t>VU26165</t>
        </is>
      </c>
      <c r="C28" t="inlineStr">
        <is>
          <t>bulk</t>
        </is>
      </c>
      <c r="D28" t="inlineStr">
        <is>
          <t>open</t>
        </is>
      </c>
      <c r="E28" t="inlineStr">
        <is>
          <t>2026-07-28</t>
        </is>
      </c>
      <c r="F28" t="inlineStr"/>
      <c r="G28" s="5" t="n">
        <v>7000</v>
      </c>
      <c r="H28" s="5" t="n">
        <v>7000</v>
      </c>
      <c r="I28" s="5" t="n">
        <v>6625</v>
      </c>
      <c r="J28" s="5" t="n">
        <v>7000</v>
      </c>
      <c r="K28" s="5" t="n">
        <v>375</v>
      </c>
      <c r="L28" s="6" t="n">
        <v>5.4</v>
      </c>
      <c r="M28" t="inlineStr">
        <is>
          <t>2026-07-29</t>
        </is>
      </c>
      <c r="N28" t="n">
        <v>59</v>
      </c>
      <c r="O28" t="inlineStr">
        <is>
          <t>By-product to Nitro Sulfur</t>
        </is>
      </c>
      <c r="P28" s="7" t="inlineStr"/>
      <c r="Q28" s="7" t="inlineStr"/>
      <c r="R28" s="7" t="inlineStr"/>
      <c r="S28" s="7" t="inlineStr"/>
    </row>
    <row r="29">
      <c r="A29" t="inlineStr">
        <is>
          <t>Sulfur Coated Urea</t>
        </is>
      </c>
      <c r="B29" t="inlineStr">
        <is>
          <t>VU26166</t>
        </is>
      </c>
      <c r="C29" t="inlineStr">
        <is>
          <t>bulk</t>
        </is>
      </c>
      <c r="D29" s="8" t="inlineStr">
        <is>
          <t>closed</t>
        </is>
      </c>
      <c r="E29" t="inlineStr">
        <is>
          <t>2026-07-28</t>
        </is>
      </c>
      <c r="F29" t="inlineStr">
        <is>
          <t>2026-08-26</t>
        </is>
      </c>
      <c r="G29" s="5" t="n">
        <v>7000</v>
      </c>
      <c r="H29" s="5" t="n">
        <v>7000</v>
      </c>
      <c r="I29" s="5" t="n">
        <v>6550</v>
      </c>
      <c r="J29" s="5" t="n">
        <v>7000</v>
      </c>
      <c r="K29" s="5" t="n">
        <v>450</v>
      </c>
      <c r="L29" s="6" t="n">
        <v>6.4</v>
      </c>
      <c r="M29" t="inlineStr">
        <is>
          <t>2026-07-29</t>
        </is>
      </c>
      <c r="N29" t="n">
        <v>59</v>
      </c>
      <c r="O29" t="inlineStr">
        <is>
          <t>By-product to Nitro Sulfur</t>
        </is>
      </c>
      <c r="P29" s="7" t="inlineStr"/>
      <c r="Q29" s="7" t="inlineStr"/>
      <c r="R29" s="7" t="inlineStr"/>
      <c r="S29" s="7" t="inlineStr"/>
    </row>
    <row r="30">
      <c r="A30" t="inlineStr">
        <is>
          <t>Sulfur Coated Urea</t>
        </is>
      </c>
      <c r="B30" t="inlineStr">
        <is>
          <t>VU26167</t>
        </is>
      </c>
      <c r="C30" t="inlineStr">
        <is>
          <t>bulk</t>
        </is>
      </c>
      <c r="D30" t="inlineStr">
        <is>
          <t>open</t>
        </is>
      </c>
      <c r="E30" t="inlineStr">
        <is>
          <t>2026-07-28</t>
        </is>
      </c>
      <c r="F30" t="inlineStr"/>
      <c r="G30" s="5" t="n">
        <v>7000</v>
      </c>
      <c r="H30" s="5" t="n">
        <v>7000</v>
      </c>
      <c r="I30" s="5" t="n">
        <v>6750</v>
      </c>
      <c r="J30" s="5" t="n">
        <v>7000</v>
      </c>
      <c r="K30" s="5" t="n">
        <v>250</v>
      </c>
      <c r="L30" s="6" t="n">
        <v>3.6</v>
      </c>
      <c r="M30" t="inlineStr">
        <is>
          <t>2026-07-29</t>
        </is>
      </c>
      <c r="N30" t="n">
        <v>59</v>
      </c>
      <c r="O30" t="inlineStr">
        <is>
          <t>By-product to Nitro Sulfur</t>
        </is>
      </c>
      <c r="P30" s="7" t="inlineStr"/>
      <c r="Q30" s="7" t="inlineStr"/>
      <c r="R30" s="7" t="inlineStr"/>
      <c r="S30" s="7" t="inlineStr"/>
    </row>
    <row r="31">
      <c r="A31" t="inlineStr">
        <is>
          <t>Sulfur Coated Urea</t>
        </is>
      </c>
      <c r="B31" t="inlineStr">
        <is>
          <t>VU26168</t>
        </is>
      </c>
      <c r="C31" t="inlineStr">
        <is>
          <t>bulk</t>
        </is>
      </c>
      <c r="D31" t="inlineStr">
        <is>
          <t>open</t>
        </is>
      </c>
      <c r="E31" t="inlineStr">
        <is>
          <t>2026-07-28</t>
        </is>
      </c>
      <c r="F31" t="inlineStr"/>
      <c r="G31" s="5" t="n">
        <v>7000</v>
      </c>
      <c r="H31" s="5" t="n">
        <v>7000</v>
      </c>
      <c r="I31" s="5" t="n">
        <v>6875</v>
      </c>
      <c r="J31" s="5" t="n">
        <v>7000</v>
      </c>
      <c r="K31" s="5" t="n">
        <v>125</v>
      </c>
      <c r="L31" s="6" t="n">
        <v>1.8</v>
      </c>
      <c r="M31" t="inlineStr">
        <is>
          <t>2026-07-29</t>
        </is>
      </c>
      <c r="N31" t="n">
        <v>59</v>
      </c>
      <c r="O31" t="inlineStr">
        <is>
          <t>By-product to Nitro Sulfur</t>
        </is>
      </c>
      <c r="P31" s="7" t="inlineStr"/>
      <c r="Q31" s="7" t="inlineStr"/>
      <c r="R31" s="7" t="inlineStr"/>
      <c r="S31" s="7" t="inlineStr"/>
    </row>
    <row r="32">
      <c r="A32" t="inlineStr">
        <is>
          <t>Sulfur Coated Urea</t>
        </is>
      </c>
      <c r="B32" t="inlineStr">
        <is>
          <t>VU26169</t>
        </is>
      </c>
      <c r="C32" t="inlineStr">
        <is>
          <t>bulk</t>
        </is>
      </c>
      <c r="D32" t="inlineStr">
        <is>
          <t>open</t>
        </is>
      </c>
      <c r="E32" t="inlineStr">
        <is>
          <t>2026-07-28</t>
        </is>
      </c>
      <c r="F32" t="inlineStr"/>
      <c r="G32" s="5" t="n">
        <v>7000</v>
      </c>
      <c r="H32" s="5" t="n">
        <v>7000</v>
      </c>
      <c r="I32" s="5" t="n">
        <v>6850</v>
      </c>
      <c r="J32" s="5" t="n">
        <v>7000</v>
      </c>
      <c r="K32" s="5" t="n">
        <v>150</v>
      </c>
      <c r="L32" s="6" t="n">
        <v>2.1</v>
      </c>
      <c r="M32" t="inlineStr">
        <is>
          <t>2026-07-29</t>
        </is>
      </c>
      <c r="N32" t="n">
        <v>59</v>
      </c>
      <c r="O32" t="inlineStr">
        <is>
          <t>By-product to Nitro Sulfur</t>
        </is>
      </c>
      <c r="P32" s="7" t="inlineStr"/>
      <c r="Q32" s="7" t="inlineStr"/>
      <c r="R32" s="7" t="inlineStr"/>
      <c r="S32" s="7" t="inlineStr"/>
    </row>
    <row r="33">
      <c r="A33" t="inlineStr">
        <is>
          <t>Sulfur Coated Urea</t>
        </is>
      </c>
      <c r="B33" t="inlineStr">
        <is>
          <t>VU26170</t>
        </is>
      </c>
      <c r="C33" t="inlineStr">
        <is>
          <t>bulk</t>
        </is>
      </c>
      <c r="D33" t="inlineStr">
        <is>
          <t>open</t>
        </is>
      </c>
      <c r="E33" t="inlineStr">
        <is>
          <t>2026-07-28</t>
        </is>
      </c>
      <c r="F33" t="inlineStr"/>
      <c r="G33" s="5" t="n">
        <v>7000</v>
      </c>
      <c r="H33" s="5" t="n">
        <v>7000</v>
      </c>
      <c r="I33" s="5" t="n">
        <v>6600</v>
      </c>
      <c r="J33" s="5" t="n">
        <v>7000</v>
      </c>
      <c r="K33" s="5" t="n">
        <v>400</v>
      </c>
      <c r="L33" s="6" t="n">
        <v>5.7</v>
      </c>
      <c r="M33" t="inlineStr">
        <is>
          <t>2026-07-29</t>
        </is>
      </c>
      <c r="N33" t="n">
        <v>59</v>
      </c>
      <c r="O33" t="inlineStr">
        <is>
          <t>By-product to Nitro Sulfur</t>
        </is>
      </c>
      <c r="P33" s="7" t="inlineStr"/>
      <c r="Q33" s="7" t="inlineStr"/>
      <c r="R33" s="7" t="inlineStr"/>
      <c r="S33" s="7" t="inlineStr"/>
    </row>
    <row r="34">
      <c r="A34" t="inlineStr">
        <is>
          <t>Sulfur Coated Urea</t>
        </is>
      </c>
      <c r="B34" t="inlineStr">
        <is>
          <t>VU26171</t>
        </is>
      </c>
      <c r="C34" t="inlineStr">
        <is>
          <t>bulk</t>
        </is>
      </c>
      <c r="D34" t="inlineStr">
        <is>
          <t>open</t>
        </is>
      </c>
      <c r="E34" t="inlineStr">
        <is>
          <t>2026-07-28</t>
        </is>
      </c>
      <c r="F34" t="inlineStr"/>
      <c r="G34" s="5" t="n">
        <v>7000</v>
      </c>
      <c r="H34" s="5" t="n">
        <v>7000</v>
      </c>
      <c r="I34" s="5" t="n">
        <v>6575</v>
      </c>
      <c r="J34" s="5" t="n">
        <v>7000</v>
      </c>
      <c r="K34" s="5" t="n">
        <v>425</v>
      </c>
      <c r="L34" s="6" t="n">
        <v>6.1</v>
      </c>
      <c r="M34" t="inlineStr">
        <is>
          <t>2026-07-29</t>
        </is>
      </c>
      <c r="N34" t="n">
        <v>59</v>
      </c>
      <c r="O34" t="inlineStr">
        <is>
          <t>By-product to Nitro Sulfur</t>
        </is>
      </c>
      <c r="P34" s="7" t="inlineStr"/>
      <c r="Q34" s="7" t="inlineStr"/>
      <c r="R34" s="7" t="inlineStr"/>
      <c r="S34" s="7" t="inlineStr"/>
    </row>
    <row r="35">
      <c r="A35" t="inlineStr">
        <is>
          <t>Sulfur Coated Urea</t>
        </is>
      </c>
      <c r="B35" t="inlineStr">
        <is>
          <t>VU26172</t>
        </is>
      </c>
      <c r="C35" t="inlineStr">
        <is>
          <t>bulk</t>
        </is>
      </c>
      <c r="D35" t="inlineStr">
        <is>
          <t>open</t>
        </is>
      </c>
      <c r="E35" t="inlineStr">
        <is>
          <t>2026-07-28</t>
        </is>
      </c>
      <c r="F35" t="inlineStr"/>
      <c r="G35" s="5" t="n">
        <v>7000</v>
      </c>
      <c r="H35" s="5" t="n">
        <v>7000</v>
      </c>
      <c r="I35" s="5" t="n">
        <v>6675</v>
      </c>
      <c r="J35" s="5" t="n">
        <v>7000</v>
      </c>
      <c r="K35" s="5" t="n">
        <v>325</v>
      </c>
      <c r="L35" s="6" t="n">
        <v>4.6</v>
      </c>
      <c r="M35" t="inlineStr">
        <is>
          <t>2026-07-29</t>
        </is>
      </c>
      <c r="N35" t="n">
        <v>59</v>
      </c>
      <c r="O35" t="inlineStr">
        <is>
          <t>By-product to Nitro Sulfur</t>
        </is>
      </c>
      <c r="P35" s="7" t="inlineStr"/>
      <c r="Q35" s="7" t="inlineStr"/>
      <c r="R35" s="7" t="inlineStr"/>
      <c r="S35" s="7" t="inlineStr"/>
    </row>
    <row r="36">
      <c r="A36" t="inlineStr">
        <is>
          <t>Sulfur Coated Urea</t>
        </is>
      </c>
      <c r="B36" t="inlineStr">
        <is>
          <t>VU26173</t>
        </is>
      </c>
      <c r="C36" t="inlineStr">
        <is>
          <t>bulk</t>
        </is>
      </c>
      <c r="D36" t="inlineStr">
        <is>
          <t>open</t>
        </is>
      </c>
      <c r="E36" t="inlineStr">
        <is>
          <t>2026-07-28</t>
        </is>
      </c>
      <c r="F36" t="inlineStr"/>
      <c r="G36" s="5" t="n">
        <v>7000</v>
      </c>
      <c r="H36" s="5" t="n">
        <v>7000</v>
      </c>
      <c r="I36" s="5" t="n">
        <v>6450</v>
      </c>
      <c r="J36" s="5" t="n">
        <v>7000</v>
      </c>
      <c r="K36" s="5" t="n">
        <v>550</v>
      </c>
      <c r="L36" s="6" t="n">
        <v>7.9</v>
      </c>
      <c r="M36" t="inlineStr">
        <is>
          <t>2026-07-29</t>
        </is>
      </c>
      <c r="N36" t="n">
        <v>59</v>
      </c>
      <c r="O36" t="inlineStr">
        <is>
          <t>By-product to Nitro Sulfur</t>
        </is>
      </c>
      <c r="P36" s="7" t="inlineStr"/>
      <c r="Q36" s="7" t="inlineStr"/>
      <c r="R36" s="7" t="inlineStr"/>
      <c r="S36" s="7" t="inlineStr"/>
    </row>
    <row r="37">
      <c r="A37" t="inlineStr">
        <is>
          <t>Sulfur Coated Urea</t>
        </is>
      </c>
      <c r="B37" t="inlineStr">
        <is>
          <t>VU26174</t>
        </is>
      </c>
      <c r="C37" t="inlineStr">
        <is>
          <t>bulk</t>
        </is>
      </c>
      <c r="D37" t="inlineStr">
        <is>
          <t>open</t>
        </is>
      </c>
      <c r="E37" t="inlineStr">
        <is>
          <t>2026-07-28</t>
        </is>
      </c>
      <c r="F37" t="inlineStr"/>
      <c r="G37" s="5" t="n">
        <v>7000</v>
      </c>
      <c r="H37" s="5" t="n">
        <v>7000</v>
      </c>
      <c r="I37" s="5" t="n">
        <v>6475</v>
      </c>
      <c r="J37" s="5" t="n">
        <v>7000</v>
      </c>
      <c r="K37" s="5" t="n">
        <v>525</v>
      </c>
      <c r="L37" s="6" t="n">
        <v>7.5</v>
      </c>
      <c r="M37" t="inlineStr">
        <is>
          <t>2026-07-29</t>
        </is>
      </c>
      <c r="N37" t="n">
        <v>59</v>
      </c>
      <c r="O37" t="inlineStr">
        <is>
          <t>By-product to Nitro Sulfur</t>
        </is>
      </c>
      <c r="P37" s="7" t="inlineStr"/>
      <c r="Q37" s="7" t="inlineStr"/>
      <c r="R37" s="7" t="inlineStr"/>
      <c r="S37" s="7" t="inlineStr"/>
    </row>
    <row r="38">
      <c r="A38" t="inlineStr">
        <is>
          <t>Sulfur Coated Urea</t>
        </is>
      </c>
      <c r="B38" t="inlineStr">
        <is>
          <t>VU26175</t>
        </is>
      </c>
      <c r="C38" t="inlineStr">
        <is>
          <t>bulk</t>
        </is>
      </c>
      <c r="D38" t="inlineStr">
        <is>
          <t>open</t>
        </is>
      </c>
      <c r="E38" t="inlineStr">
        <is>
          <t>2026-07-28</t>
        </is>
      </c>
      <c r="F38" t="inlineStr"/>
      <c r="G38" s="5" t="n">
        <v>7000</v>
      </c>
      <c r="H38" s="5" t="n">
        <v>7000</v>
      </c>
      <c r="I38" s="5" t="n">
        <v>6625</v>
      </c>
      <c r="J38" s="5" t="n">
        <v>7000</v>
      </c>
      <c r="K38" s="5" t="n">
        <v>375</v>
      </c>
      <c r="L38" s="6" t="n">
        <v>5.4</v>
      </c>
      <c r="M38" t="inlineStr">
        <is>
          <t>2026-07-29</t>
        </is>
      </c>
      <c r="N38" t="n">
        <v>59</v>
      </c>
      <c r="O38" t="inlineStr">
        <is>
          <t>By-product to Nitro Sulfur</t>
        </is>
      </c>
      <c r="P38" s="7" t="inlineStr"/>
      <c r="Q38" s="7" t="inlineStr"/>
      <c r="R38" s="7" t="inlineStr"/>
      <c r="S38" s="7" t="inlineStr"/>
    </row>
    <row r="39">
      <c r="A39" t="inlineStr">
        <is>
          <t>Sulfur Coated Urea</t>
        </is>
      </c>
      <c r="B39" t="inlineStr">
        <is>
          <t>VU26176</t>
        </is>
      </c>
      <c r="C39" t="inlineStr">
        <is>
          <t>bulk</t>
        </is>
      </c>
      <c r="D39" t="inlineStr">
        <is>
          <t>open</t>
        </is>
      </c>
      <c r="E39" t="inlineStr">
        <is>
          <t>2026-07-28</t>
        </is>
      </c>
      <c r="F39" t="inlineStr"/>
      <c r="G39" s="5" t="n">
        <v>7000</v>
      </c>
      <c r="H39" s="5" t="n">
        <v>7000</v>
      </c>
      <c r="I39" s="5" t="n">
        <v>6800</v>
      </c>
      <c r="J39" s="5" t="n">
        <v>7000</v>
      </c>
      <c r="K39" s="5" t="n">
        <v>200</v>
      </c>
      <c r="L39" s="6" t="n">
        <v>2.9</v>
      </c>
      <c r="M39" t="inlineStr">
        <is>
          <t>2026-07-29</t>
        </is>
      </c>
      <c r="N39" t="n">
        <v>59</v>
      </c>
      <c r="O39" t="inlineStr">
        <is>
          <t>By-product to Nitro Sulfur</t>
        </is>
      </c>
      <c r="P39" s="7" t="inlineStr"/>
      <c r="Q39" s="7" t="inlineStr"/>
      <c r="R39" s="7" t="inlineStr"/>
      <c r="S39" s="7" t="inlineStr"/>
    </row>
    <row r="40">
      <c r="A40" t="inlineStr">
        <is>
          <t>Sulfur Coated Urea</t>
        </is>
      </c>
      <c r="B40" t="inlineStr">
        <is>
          <t>VU26177</t>
        </is>
      </c>
      <c r="C40" t="inlineStr">
        <is>
          <t>bulk</t>
        </is>
      </c>
      <c r="D40" t="inlineStr">
        <is>
          <t>open</t>
        </is>
      </c>
      <c r="E40" t="inlineStr">
        <is>
          <t>2026-07-28</t>
        </is>
      </c>
      <c r="F40" t="inlineStr"/>
      <c r="G40" s="5" t="n">
        <v>7000</v>
      </c>
      <c r="H40" s="5" t="n">
        <v>7000</v>
      </c>
      <c r="I40" s="5" t="n">
        <v>6850</v>
      </c>
      <c r="J40" s="5" t="n">
        <v>7000</v>
      </c>
      <c r="K40" s="5" t="n">
        <v>150</v>
      </c>
      <c r="L40" s="6" t="n">
        <v>2.1</v>
      </c>
      <c r="M40" t="inlineStr">
        <is>
          <t>2026-07-29</t>
        </is>
      </c>
      <c r="N40" t="n">
        <v>59</v>
      </c>
      <c r="O40" t="inlineStr">
        <is>
          <t>By-product to Nitro Sulfur</t>
        </is>
      </c>
      <c r="P40" s="7" t="inlineStr"/>
      <c r="Q40" s="7" t="inlineStr"/>
      <c r="R40" s="7" t="inlineStr"/>
      <c r="S40" s="7" t="inlineStr"/>
    </row>
    <row r="41">
      <c r="A41" t="inlineStr">
        <is>
          <t>Sulfur Coated Urea</t>
        </is>
      </c>
      <c r="B41" t="inlineStr">
        <is>
          <t>VU26178</t>
        </is>
      </c>
      <c r="C41" t="inlineStr">
        <is>
          <t>bulk</t>
        </is>
      </c>
      <c r="D41" t="inlineStr">
        <is>
          <t>open</t>
        </is>
      </c>
      <c r="E41" t="inlineStr">
        <is>
          <t>2026-07-28</t>
        </is>
      </c>
      <c r="F41" t="inlineStr"/>
      <c r="G41" s="5" t="n">
        <v>7000</v>
      </c>
      <c r="H41" s="5" t="n">
        <v>7000</v>
      </c>
      <c r="I41" s="5" t="n">
        <v>6475</v>
      </c>
      <c r="J41" s="5" t="n">
        <v>7000</v>
      </c>
      <c r="K41" s="5" t="n">
        <v>525</v>
      </c>
      <c r="L41" s="6" t="n">
        <v>7.5</v>
      </c>
      <c r="M41" t="inlineStr">
        <is>
          <t>2026-07-29</t>
        </is>
      </c>
      <c r="N41" t="n">
        <v>59</v>
      </c>
      <c r="O41" t="inlineStr">
        <is>
          <t>By-product to Nitro Sulfur</t>
        </is>
      </c>
      <c r="P41" s="7" t="inlineStr"/>
      <c r="Q41" s="7" t="inlineStr"/>
      <c r="R41" s="7" t="inlineStr"/>
      <c r="S41" s="7" t="inlineStr"/>
    </row>
    <row r="42">
      <c r="A42" t="inlineStr">
        <is>
          <t>Sulfur Coated Urea</t>
        </is>
      </c>
      <c r="B42" t="inlineStr">
        <is>
          <t>VU26179</t>
        </is>
      </c>
      <c r="C42" t="inlineStr">
        <is>
          <t>bulk</t>
        </is>
      </c>
      <c r="D42" t="inlineStr">
        <is>
          <t>open</t>
        </is>
      </c>
      <c r="E42" t="inlineStr">
        <is>
          <t>2026-07-28</t>
        </is>
      </c>
      <c r="F42" t="inlineStr"/>
      <c r="G42" s="5" t="n">
        <v>7000</v>
      </c>
      <c r="H42" s="5" t="n">
        <v>7000</v>
      </c>
      <c r="I42" s="5" t="n">
        <v>6600</v>
      </c>
      <c r="J42" s="5" t="n">
        <v>7000</v>
      </c>
      <c r="K42" s="5" t="n">
        <v>400</v>
      </c>
      <c r="L42" s="6" t="n">
        <v>5.7</v>
      </c>
      <c r="M42" t="inlineStr">
        <is>
          <t>2026-07-29</t>
        </is>
      </c>
      <c r="N42" t="n">
        <v>59</v>
      </c>
      <c r="O42" t="inlineStr">
        <is>
          <t>By-product to Nitro Sulfur</t>
        </is>
      </c>
      <c r="P42" s="7" t="inlineStr"/>
      <c r="Q42" s="7" t="inlineStr"/>
      <c r="R42" s="7" t="inlineStr"/>
      <c r="S42" s="7" t="inlineStr"/>
    </row>
    <row r="43">
      <c r="A43" t="inlineStr">
        <is>
          <t>Sulfur Coated Urea</t>
        </is>
      </c>
      <c r="B43" t="inlineStr">
        <is>
          <t>VU26180</t>
        </is>
      </c>
      <c r="C43" t="inlineStr">
        <is>
          <t>bulk</t>
        </is>
      </c>
      <c r="D43" t="inlineStr">
        <is>
          <t>open</t>
        </is>
      </c>
      <c r="E43" t="inlineStr">
        <is>
          <t>2026-07-28</t>
        </is>
      </c>
      <c r="F43" t="inlineStr"/>
      <c r="G43" s="5" t="n">
        <v>7000</v>
      </c>
      <c r="H43" s="5" t="n">
        <v>7000</v>
      </c>
      <c r="I43" s="5" t="n">
        <v>6600</v>
      </c>
      <c r="J43" s="5" t="n">
        <v>7000</v>
      </c>
      <c r="K43" s="5" t="n">
        <v>400</v>
      </c>
      <c r="L43" s="6" t="n">
        <v>5.7</v>
      </c>
      <c r="M43" t="inlineStr">
        <is>
          <t>2026-07-29</t>
        </is>
      </c>
      <c r="N43" t="n">
        <v>59</v>
      </c>
      <c r="O43" t="inlineStr">
        <is>
          <t>By-product to Nitro Sulfur</t>
        </is>
      </c>
      <c r="P43" s="7" t="inlineStr"/>
      <c r="Q43" s="7" t="inlineStr"/>
      <c r="R43" s="7" t="inlineStr"/>
      <c r="S43" s="7" t="inlineStr"/>
    </row>
    <row r="44">
      <c r="A44" t="inlineStr">
        <is>
          <t>Sulfur Coated Urea</t>
        </is>
      </c>
      <c r="B44" t="inlineStr">
        <is>
          <t>VU26181</t>
        </is>
      </c>
      <c r="C44" t="inlineStr">
        <is>
          <t>bulk</t>
        </is>
      </c>
      <c r="D44" t="inlineStr">
        <is>
          <t>open</t>
        </is>
      </c>
      <c r="E44" t="inlineStr">
        <is>
          <t>2026-07-28</t>
        </is>
      </c>
      <c r="F44" t="inlineStr"/>
      <c r="G44" s="5" t="n">
        <v>7000</v>
      </c>
      <c r="H44" s="5" t="n">
        <v>7000</v>
      </c>
      <c r="I44" s="5" t="n">
        <v>6550</v>
      </c>
      <c r="J44" s="5" t="n">
        <v>7000</v>
      </c>
      <c r="K44" s="5" t="n">
        <v>450</v>
      </c>
      <c r="L44" s="6" t="n">
        <v>6.4</v>
      </c>
      <c r="M44" t="inlineStr">
        <is>
          <t>2026-07-29</t>
        </is>
      </c>
      <c r="N44" t="n">
        <v>59</v>
      </c>
      <c r="O44" t="inlineStr">
        <is>
          <t>By-product to Nitro Sulfur</t>
        </is>
      </c>
      <c r="P44" s="7" t="inlineStr"/>
      <c r="Q44" s="7" t="inlineStr"/>
      <c r="R44" s="7" t="inlineStr"/>
      <c r="S44" s="7" t="inlineStr"/>
    </row>
    <row r="45">
      <c r="A45" t="inlineStr">
        <is>
          <t>Sulfur Coated Urea</t>
        </is>
      </c>
      <c r="B45" t="inlineStr">
        <is>
          <t>VU26182</t>
        </is>
      </c>
      <c r="C45" t="inlineStr">
        <is>
          <t>bulk</t>
        </is>
      </c>
      <c r="D45" t="inlineStr">
        <is>
          <t>open</t>
        </is>
      </c>
      <c r="E45" t="inlineStr">
        <is>
          <t>2026-07-28</t>
        </is>
      </c>
      <c r="F45" t="inlineStr"/>
      <c r="G45" s="5" t="n">
        <v>7000</v>
      </c>
      <c r="H45" s="5" t="n">
        <v>7000</v>
      </c>
      <c r="I45" s="5" t="n">
        <v>6600</v>
      </c>
      <c r="J45" s="5" t="n">
        <v>7000</v>
      </c>
      <c r="K45" s="5" t="n">
        <v>400</v>
      </c>
      <c r="L45" s="6" t="n">
        <v>5.7</v>
      </c>
      <c r="M45" t="inlineStr">
        <is>
          <t>2026-07-29</t>
        </is>
      </c>
      <c r="N45" t="n">
        <v>59</v>
      </c>
      <c r="O45" t="inlineStr">
        <is>
          <t>By-product to Nitro Sulfur</t>
        </is>
      </c>
      <c r="P45" s="7" t="inlineStr"/>
      <c r="Q45" s="7" t="inlineStr"/>
      <c r="R45" s="7" t="inlineStr"/>
      <c r="S45" s="7" t="inlineStr"/>
    </row>
    <row r="46">
      <c r="A46" t="inlineStr">
        <is>
          <t>Sulfur Coated Urea</t>
        </is>
      </c>
      <c r="B46" t="inlineStr">
        <is>
          <t>VU26183</t>
        </is>
      </c>
      <c r="C46" t="inlineStr">
        <is>
          <t>bulk</t>
        </is>
      </c>
      <c r="D46" t="inlineStr">
        <is>
          <t>open</t>
        </is>
      </c>
      <c r="E46" t="inlineStr">
        <is>
          <t>2026-07-28</t>
        </is>
      </c>
      <c r="F46" t="inlineStr"/>
      <c r="G46" s="5" t="n">
        <v>7000</v>
      </c>
      <c r="H46" s="5" t="n">
        <v>7000</v>
      </c>
      <c r="I46" s="5" t="n">
        <v>6600</v>
      </c>
      <c r="J46" s="5" t="n">
        <v>7000</v>
      </c>
      <c r="K46" s="5" t="n">
        <v>400</v>
      </c>
      <c r="L46" s="6" t="n">
        <v>5.7</v>
      </c>
      <c r="M46" t="inlineStr">
        <is>
          <t>2026-07-29</t>
        </is>
      </c>
      <c r="N46" t="n">
        <v>59</v>
      </c>
      <c r="O46" t="inlineStr">
        <is>
          <t>By-product to Nitro Sulfur</t>
        </is>
      </c>
      <c r="P46" s="7" t="inlineStr"/>
      <c r="Q46" s="7" t="inlineStr"/>
      <c r="R46" s="7" t="inlineStr"/>
      <c r="S46" s="7" t="inlineStr"/>
    </row>
    <row r="47">
      <c r="A47" t="inlineStr">
        <is>
          <t>Sulfur Coated Urea</t>
        </is>
      </c>
      <c r="B47" t="inlineStr">
        <is>
          <t>VU26184</t>
        </is>
      </c>
      <c r="C47" t="inlineStr">
        <is>
          <t>bulk</t>
        </is>
      </c>
      <c r="D47" t="inlineStr">
        <is>
          <t>open</t>
        </is>
      </c>
      <c r="E47" t="inlineStr">
        <is>
          <t>2026-07-28</t>
        </is>
      </c>
      <c r="F47" t="inlineStr"/>
      <c r="G47" s="5" t="n">
        <v>7000</v>
      </c>
      <c r="H47" s="5" t="n">
        <v>7000</v>
      </c>
      <c r="I47" s="5" t="n">
        <v>6800</v>
      </c>
      <c r="J47" s="5" t="n">
        <v>7000</v>
      </c>
      <c r="K47" s="5" t="n">
        <v>200</v>
      </c>
      <c r="L47" s="6" t="n">
        <v>2.9</v>
      </c>
      <c r="M47" t="inlineStr">
        <is>
          <t>2026-07-29</t>
        </is>
      </c>
      <c r="N47" t="n">
        <v>59</v>
      </c>
      <c r="O47" t="inlineStr">
        <is>
          <t>By-product to Nitro Sulfur</t>
        </is>
      </c>
      <c r="P47" s="7" t="inlineStr"/>
      <c r="Q47" s="7" t="inlineStr"/>
      <c r="R47" s="7" t="inlineStr"/>
      <c r="S47" s="7" t="inlineStr"/>
    </row>
    <row r="48">
      <c r="A48" t="inlineStr">
        <is>
          <t>Sulfur Coated Urea</t>
        </is>
      </c>
      <c r="B48" t="inlineStr">
        <is>
          <t>VU26185</t>
        </is>
      </c>
      <c r="C48" t="inlineStr">
        <is>
          <t>bulk</t>
        </is>
      </c>
      <c r="D48" s="8" t="inlineStr">
        <is>
          <t>closed</t>
        </is>
      </c>
      <c r="E48" t="inlineStr">
        <is>
          <t>2026-07-28</t>
        </is>
      </c>
      <c r="F48" t="inlineStr">
        <is>
          <t>2026-08-26</t>
        </is>
      </c>
      <c r="G48" s="5" t="n">
        <v>7000</v>
      </c>
      <c r="H48" s="5" t="n">
        <v>7000</v>
      </c>
      <c r="I48" s="5" t="n">
        <v>6450</v>
      </c>
      <c r="J48" s="5" t="n">
        <v>7000</v>
      </c>
      <c r="K48" s="5" t="n">
        <v>550</v>
      </c>
      <c r="L48" s="6" t="n">
        <v>7.9</v>
      </c>
      <c r="M48" t="inlineStr">
        <is>
          <t>2026-07-29</t>
        </is>
      </c>
      <c r="N48" t="n">
        <v>59</v>
      </c>
      <c r="O48" t="inlineStr">
        <is>
          <t>By-product to Nitro Sulfur</t>
        </is>
      </c>
      <c r="P48" s="7" t="inlineStr"/>
      <c r="Q48" s="7" t="inlineStr"/>
      <c r="R48" s="7" t="inlineStr"/>
      <c r="S48" s="7" t="inlineStr"/>
    </row>
    <row r="49">
      <c r="A49" t="inlineStr">
        <is>
          <t>Sulfur Coated Urea</t>
        </is>
      </c>
      <c r="B49" t="inlineStr">
        <is>
          <t>VU26186</t>
        </is>
      </c>
      <c r="C49" t="inlineStr">
        <is>
          <t>bulk</t>
        </is>
      </c>
      <c r="D49" t="inlineStr">
        <is>
          <t>open</t>
        </is>
      </c>
      <c r="E49" t="inlineStr">
        <is>
          <t>2026-07-28</t>
        </is>
      </c>
      <c r="F49" t="inlineStr"/>
      <c r="G49" s="5" t="n">
        <v>7000</v>
      </c>
      <c r="H49" s="5" t="n">
        <v>7000</v>
      </c>
      <c r="I49" s="5" t="n">
        <v>6400</v>
      </c>
      <c r="J49" s="5" t="n">
        <v>7000</v>
      </c>
      <c r="K49" s="5" t="n">
        <v>600</v>
      </c>
      <c r="L49" s="6" t="n">
        <v>8.6</v>
      </c>
      <c r="M49" t="inlineStr">
        <is>
          <t>2026-07-29</t>
        </is>
      </c>
      <c r="N49" t="n">
        <v>59</v>
      </c>
      <c r="O49" t="inlineStr">
        <is>
          <t>By-product to Nitro Sulfur</t>
        </is>
      </c>
      <c r="P49" s="7" t="inlineStr"/>
      <c r="Q49" s="7" t="inlineStr"/>
      <c r="R49" s="7" t="inlineStr"/>
      <c r="S49" s="7" t="inlineStr"/>
    </row>
    <row r="50">
      <c r="A50" t="inlineStr">
        <is>
          <t>Sulfur Coated Urea</t>
        </is>
      </c>
      <c r="B50" t="inlineStr">
        <is>
          <t>VU26187</t>
        </is>
      </c>
      <c r="C50" t="inlineStr">
        <is>
          <t>bulk</t>
        </is>
      </c>
      <c r="D50" t="inlineStr">
        <is>
          <t>open</t>
        </is>
      </c>
      <c r="E50" t="inlineStr">
        <is>
          <t>2026-07-28</t>
        </is>
      </c>
      <c r="F50" t="inlineStr"/>
      <c r="G50" s="5" t="n">
        <v>7000</v>
      </c>
      <c r="H50" s="5" t="n">
        <v>7000</v>
      </c>
      <c r="I50" s="5" t="n">
        <v>6525</v>
      </c>
      <c r="J50" s="5" t="n">
        <v>7000</v>
      </c>
      <c r="K50" s="5" t="n">
        <v>475</v>
      </c>
      <c r="L50" s="6" t="n">
        <v>6.8</v>
      </c>
      <c r="M50" t="inlineStr">
        <is>
          <t>2026-07-29</t>
        </is>
      </c>
      <c r="N50" t="n">
        <v>59</v>
      </c>
      <c r="O50" t="inlineStr">
        <is>
          <t>By-product to Nitro Sulfur</t>
        </is>
      </c>
      <c r="P50" s="7" t="inlineStr"/>
      <c r="Q50" s="7" t="inlineStr"/>
      <c r="R50" s="7" t="inlineStr"/>
      <c r="S50" s="7" t="inlineStr"/>
    </row>
    <row r="51">
      <c r="A51" t="inlineStr">
        <is>
          <t>Sulfur Coated Urea</t>
        </is>
      </c>
      <c r="B51" t="inlineStr">
        <is>
          <t>VU26188</t>
        </is>
      </c>
      <c r="C51" t="inlineStr">
        <is>
          <t>bulk</t>
        </is>
      </c>
      <c r="D51" t="inlineStr">
        <is>
          <t>open</t>
        </is>
      </c>
      <c r="E51" t="inlineStr">
        <is>
          <t>2026-07-28</t>
        </is>
      </c>
      <c r="F51" t="inlineStr"/>
      <c r="G51" s="5" t="n">
        <v>7000</v>
      </c>
      <c r="H51" s="5" t="n">
        <v>7000</v>
      </c>
      <c r="I51" s="5" t="n">
        <v>6975</v>
      </c>
      <c r="J51" s="5" t="n">
        <v>7000</v>
      </c>
      <c r="K51" s="5" t="n">
        <v>25</v>
      </c>
      <c r="L51" s="6" t="n">
        <v>0.4</v>
      </c>
      <c r="M51" t="inlineStr">
        <is>
          <t>2026-08-15</t>
        </is>
      </c>
      <c r="N51" t="n">
        <v>42</v>
      </c>
      <c r="O51" t="inlineStr">
        <is>
          <t>By-product to Nitro Sulfur</t>
        </is>
      </c>
      <c r="P51" s="7" t="inlineStr"/>
      <c r="Q51" s="7" t="inlineStr"/>
      <c r="R51" s="7" t="inlineStr"/>
      <c r="S51" s="7" t="inlineStr"/>
    </row>
    <row r="52">
      <c r="A52" t="inlineStr">
        <is>
          <t>Sulfur Coated Urea</t>
        </is>
      </c>
      <c r="B52" t="inlineStr">
        <is>
          <t>VU26189</t>
        </is>
      </c>
      <c r="C52" t="inlineStr">
        <is>
          <t>bulk</t>
        </is>
      </c>
      <c r="D52" t="inlineStr">
        <is>
          <t>open</t>
        </is>
      </c>
      <c r="E52" t="inlineStr">
        <is>
          <t>2026-08-25</t>
        </is>
      </c>
      <c r="F52" t="inlineStr"/>
      <c r="G52" s="5" t="n">
        <v>7000</v>
      </c>
      <c r="H52" s="5" t="n">
        <v>7000</v>
      </c>
      <c r="I52" s="5" t="n">
        <v>6125</v>
      </c>
      <c r="J52" s="5" t="n">
        <v>7000</v>
      </c>
      <c r="K52" s="5" t="n">
        <v>875</v>
      </c>
      <c r="L52" s="6" t="n">
        <v>12.5</v>
      </c>
      <c r="M52" t="inlineStr">
        <is>
          <t>2026-08-26</t>
        </is>
      </c>
      <c r="N52" t="n">
        <v>31</v>
      </c>
      <c r="O52" t="inlineStr">
        <is>
          <t>By-product to Nitro Sulfur</t>
        </is>
      </c>
      <c r="P52" s="7" t="inlineStr"/>
      <c r="Q52" s="7" t="inlineStr"/>
      <c r="R52" s="7" t="inlineStr"/>
      <c r="S52" s="7" t="inlineStr"/>
    </row>
    <row r="53">
      <c r="A53" t="inlineStr">
        <is>
          <t>Sulfur Coated Urea</t>
        </is>
      </c>
      <c r="B53" t="inlineStr">
        <is>
          <t>VU26190</t>
        </is>
      </c>
      <c r="C53" t="inlineStr">
        <is>
          <t>bulk</t>
        </is>
      </c>
      <c r="D53" t="inlineStr">
        <is>
          <t>open</t>
        </is>
      </c>
      <c r="E53" t="inlineStr">
        <is>
          <t>2026-08-25</t>
        </is>
      </c>
      <c r="F53" t="inlineStr"/>
      <c r="G53" s="5" t="n">
        <v>7000</v>
      </c>
      <c r="H53" s="5" t="n">
        <v>7000</v>
      </c>
      <c r="I53" s="5" t="n">
        <v>6375</v>
      </c>
      <c r="J53" s="5" t="n">
        <v>7000</v>
      </c>
      <c r="K53" s="5" t="n">
        <v>625</v>
      </c>
      <c r="L53" s="6" t="n">
        <v>8.9</v>
      </c>
      <c r="M53" t="inlineStr">
        <is>
          <t>2026-08-27</t>
        </is>
      </c>
      <c r="N53" t="n">
        <v>30</v>
      </c>
      <c r="O53" t="inlineStr">
        <is>
          <t>By-product to Nitro Sulfur</t>
        </is>
      </c>
      <c r="P53" s="7" t="inlineStr"/>
      <c r="Q53" s="7" t="inlineStr"/>
      <c r="R53" s="7" t="inlineStr"/>
      <c r="S53" s="7" t="inlineStr"/>
    </row>
    <row r="54">
      <c r="A54" t="inlineStr">
        <is>
          <t>VL-Micro Mix</t>
        </is>
      </c>
      <c r="B54" t="inlineStr">
        <is>
          <t>VLM 26001</t>
        </is>
      </c>
      <c r="C54" t="inlineStr">
        <is>
          <t>bulk</t>
        </is>
      </c>
      <c r="D54" t="inlineStr">
        <is>
          <t>open</t>
        </is>
      </c>
      <c r="E54" t="inlineStr">
        <is>
          <t>2026-09-21</t>
        </is>
      </c>
      <c r="F54" t="inlineStr"/>
      <c r="G54" s="5" t="n">
        <v>500</v>
      </c>
      <c r="H54" s="5" t="n">
        <v>500</v>
      </c>
      <c r="I54" s="5" t="n">
        <v>0</v>
      </c>
      <c r="J54" s="5" t="n">
        <v>500</v>
      </c>
      <c r="K54" s="5" t="n">
        <v>500</v>
      </c>
      <c r="L54" s="6" t="n">
        <v>100</v>
      </c>
      <c r="M54" t="inlineStr"/>
      <c r="N54" t="n">
        <v>5</v>
      </c>
      <c r="O54" t="inlineStr"/>
      <c r="P54" s="7" t="inlineStr"/>
      <c r="Q54" s="7" t="inlineStr"/>
      <c r="R54" s="7" t="inlineStr"/>
      <c r="S54" s="7" t="inlineStr"/>
    </row>
    <row r="55">
      <c r="A55" t="inlineStr">
        <is>
          <t>VL-Micro Mix</t>
        </is>
      </c>
      <c r="B55" t="inlineStr">
        <is>
          <t>VLM26001</t>
        </is>
      </c>
      <c r="C55" t="inlineStr">
        <is>
          <t>bulk</t>
        </is>
      </c>
      <c r="D55" t="inlineStr">
        <is>
          <t>open</t>
        </is>
      </c>
      <c r="E55" t="inlineStr">
        <is>
          <t>2026-07-29</t>
        </is>
      </c>
      <c r="F55" t="inlineStr"/>
      <c r="G55" s="5" t="n">
        <v>180</v>
      </c>
      <c r="H55" s="5" t="n">
        <v>180</v>
      </c>
      <c r="I55" s="5" t="n">
        <v>139</v>
      </c>
      <c r="J55" s="5" t="n">
        <v>180</v>
      </c>
      <c r="K55" s="5" t="n">
        <v>41</v>
      </c>
      <c r="L55" s="6" t="n">
        <v>22.8</v>
      </c>
      <c r="M55" t="inlineStr">
        <is>
          <t>2026-09-26</t>
        </is>
      </c>
      <c r="N55" t="n">
        <v>0</v>
      </c>
      <c r="O55" t="inlineStr"/>
      <c r="P55" s="7" t="inlineStr"/>
      <c r="Q55" s="7" t="inlineStr"/>
      <c r="R55" s="7" t="inlineStr"/>
      <c r="S55" s="7" t="inlineStr"/>
    </row>
    <row r="56">
      <c r="A56" t="inlineStr">
        <is>
          <t>VL-Potash</t>
        </is>
      </c>
      <c r="B56" t="inlineStr">
        <is>
          <t>KL26002</t>
        </is>
      </c>
      <c r="C56" t="inlineStr">
        <is>
          <t>bulk</t>
        </is>
      </c>
      <c r="D56" t="inlineStr">
        <is>
          <t>open</t>
        </is>
      </c>
      <c r="E56" t="inlineStr">
        <is>
          <t>2026-07-29</t>
        </is>
      </c>
      <c r="F56" t="inlineStr"/>
      <c r="G56" s="5" t="n">
        <v>210</v>
      </c>
      <c r="H56" s="5" t="n">
        <v>210</v>
      </c>
      <c r="I56" s="5" t="n">
        <v>118</v>
      </c>
      <c r="J56" s="5" t="n">
        <v>210</v>
      </c>
      <c r="K56" s="5" t="n">
        <v>92</v>
      </c>
      <c r="L56" s="6" t="n">
        <v>43.8</v>
      </c>
      <c r="M56" t="inlineStr">
        <is>
          <t>2026-08-28</t>
        </is>
      </c>
      <c r="N56" t="n">
        <v>29</v>
      </c>
      <c r="O56" t="inlineStr"/>
      <c r="P56" s="7" t="inlineStr"/>
      <c r="Q56" s="7" t="inlineStr"/>
      <c r="R56" s="7" t="inlineStr"/>
      <c r="S56" s="7" t="inlineStr"/>
    </row>
    <row r="57">
      <c r="A57" t="inlineStr">
        <is>
          <t>Zinc 10%</t>
        </is>
      </c>
      <c r="B57" t="inlineStr">
        <is>
          <t>VZ10453</t>
        </is>
      </c>
      <c r="C57" t="inlineStr">
        <is>
          <t>bulk</t>
        </is>
      </c>
      <c r="D57" t="inlineStr">
        <is>
          <t>open</t>
        </is>
      </c>
      <c r="E57" t="inlineStr">
        <is>
          <t>2026-08-15</t>
        </is>
      </c>
      <c r="F57" t="inlineStr"/>
      <c r="G57" s="5" t="n">
        <v>5300</v>
      </c>
      <c r="H57" s="5" t="n">
        <v>5300</v>
      </c>
      <c r="I57" s="5" t="n">
        <v>2920</v>
      </c>
      <c r="J57" s="5" t="n">
        <v>5300</v>
      </c>
      <c r="K57" s="5" t="n">
        <v>2380</v>
      </c>
      <c r="L57" s="6" t="n">
        <v>44.9</v>
      </c>
      <c r="M57" t="inlineStr">
        <is>
          <t>2026-08-29</t>
        </is>
      </c>
      <c r="N57" t="n">
        <v>28</v>
      </c>
      <c r="O57" t="inlineStr"/>
      <c r="P57" s="7" t="inlineStr"/>
      <c r="Q57" s="7" t="inlineStr"/>
      <c r="R57" s="7" t="inlineStr"/>
      <c r="S57" s="7" t="inlineStr"/>
    </row>
    <row r="58">
      <c r="A58" t="inlineStr">
        <is>
          <t>Zinc 21%</t>
        </is>
      </c>
      <c r="B58" t="inlineStr">
        <is>
          <t>VT10450</t>
        </is>
      </c>
      <c r="C58" t="inlineStr">
        <is>
          <t>bulk</t>
        </is>
      </c>
      <c r="D58" t="inlineStr">
        <is>
          <t>open</t>
        </is>
      </c>
      <c r="E58" t="inlineStr">
        <is>
          <t>2026-07-28</t>
        </is>
      </c>
      <c r="F58" t="inlineStr"/>
      <c r="G58" s="5" t="n">
        <v>5000</v>
      </c>
      <c r="H58" s="5" t="n">
        <v>5000</v>
      </c>
      <c r="I58" s="5" t="n">
        <v>3714</v>
      </c>
      <c r="J58" s="5" t="n">
        <v>5000</v>
      </c>
      <c r="K58" s="5" t="n">
        <v>1286</v>
      </c>
      <c r="L58" s="6" t="n">
        <v>25.7</v>
      </c>
      <c r="M58" t="inlineStr">
        <is>
          <t>2026-09-21</t>
        </is>
      </c>
      <c r="N58" t="n">
        <v>5</v>
      </c>
      <c r="O58" t="inlineStr"/>
      <c r="P58" s="7" t="inlineStr"/>
      <c r="Q58" s="7" t="inlineStr"/>
      <c r="R58" s="7" t="inlineStr"/>
      <c r="S58" s="7" t="inlineStr"/>
    </row>
    <row r="59">
      <c r="A59" s="9" t="inlineStr">
        <is>
          <t>Total</t>
        </is>
      </c>
      <c r="K59" s="10">
        <f>SUM(K2:K58)</f>
        <v/>
      </c>
      <c r="Q59" s="11">
        <f>SUM(Q2:Q58)</f>
        <v/>
      </c>
    </row>
  </sheetData>
  <autoFilter ref="A1:S58"/>
  <dataValidations count="2">
    <dataValidation sqref="P2:P58" showDropDown="0" showInputMessage="0" showErrorMessage="0" allowBlank="1" type="list">
      <formula1>"Stock,Loss,By-product,Divert,Rework"</formula1>
    </dataValidation>
    <dataValidation sqref="R2:R58" showDropDown="0" showInputMessage="0" showErrorMessage="0" allowBlank="1" type="list">
      <formula1>"Wastage,Raw-material moisture loss,Process / handling loss,Recipe / assay adjustment,Other"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4" max="4"/>
  </cols>
  <sheetData>
    <row r="1">
      <c r="A1" s="12" t="inlineStr">
        <is>
          <t>Product</t>
        </is>
      </c>
      <c r="B1" s="12" t="inlineStr">
        <is>
          <t>Batches</t>
        </is>
      </c>
      <c r="C1" s="12" t="inlineStr">
        <is>
          <t>Closed</t>
        </is>
      </c>
      <c r="D1" s="12" t="inlineStr">
        <is>
          <t>Leftover Kg</t>
        </is>
      </c>
    </row>
    <row r="2">
      <c r="A2" t="inlineStr">
        <is>
          <t>Amino Acid</t>
        </is>
      </c>
      <c r="B2">
        <f>COUNTIF(Leftovers!A$2:A$58,A2)</f>
        <v/>
      </c>
      <c r="C2">
        <f>COUNTIFS(Leftovers!A$2:A$58,A2,Leftovers!D$2:D$58,"closed")</f>
        <v/>
      </c>
      <c r="D2" s="5">
        <f>SUMIF(Leftovers!A$2:A$58,A2,Leftovers!K$2:K$58)</f>
        <v/>
      </c>
    </row>
    <row r="3">
      <c r="A3" t="inlineStr">
        <is>
          <t>Boron 5%</t>
        </is>
      </c>
      <c r="B3">
        <f>COUNTIF(Leftovers!A$2:A$58,A3)</f>
        <v/>
      </c>
      <c r="C3">
        <f>COUNTIFS(Leftovers!A$2:A$58,A3,Leftovers!D$2:D$58,"closed")</f>
        <v/>
      </c>
      <c r="D3" s="5">
        <f>SUMIF(Leftovers!A$2:A$58,A3,Leftovers!K$2:K$58)</f>
        <v/>
      </c>
    </row>
    <row r="4">
      <c r="A4" t="inlineStr">
        <is>
          <t>Grain Set</t>
        </is>
      </c>
      <c r="B4">
        <f>COUNTIF(Leftovers!A$2:A$58,A4)</f>
        <v/>
      </c>
      <c r="C4">
        <f>COUNTIFS(Leftovers!A$2:A$58,A4,Leftovers!D$2:D$58,"closed")</f>
        <v/>
      </c>
      <c r="D4" s="5">
        <f>SUMIF(Leftovers!A$2:A$58,A4,Leftovers!K$2:K$58)</f>
        <v/>
      </c>
    </row>
    <row r="5">
      <c r="A5" t="inlineStr">
        <is>
          <t>Liquid Phosphrous</t>
        </is>
      </c>
      <c r="B5">
        <f>COUNTIF(Leftovers!A$2:A$58,A5)</f>
        <v/>
      </c>
      <c r="C5">
        <f>COUNTIFS(Leftovers!A$2:A$58,A5,Leftovers!D$2:D$58,"closed")</f>
        <v/>
      </c>
      <c r="D5" s="5">
        <f>SUMIF(Leftovers!A$2:A$58,A5,Leftovers!K$2:K$58)</f>
        <v/>
      </c>
    </row>
    <row r="6">
      <c r="A6" t="inlineStr">
        <is>
          <t>NP 6.32</t>
        </is>
      </c>
      <c r="B6">
        <f>COUNTIF(Leftovers!A$2:A$58,A6)</f>
        <v/>
      </c>
      <c r="C6">
        <f>COUNTIFS(Leftovers!A$2:A$58,A6,Leftovers!D$2:D$58,"closed")</f>
        <v/>
      </c>
      <c r="D6" s="5">
        <f>SUMIF(Leftovers!A$2:A$58,A6,Leftovers!K$2:K$58)</f>
        <v/>
      </c>
    </row>
    <row r="7">
      <c r="A7" t="inlineStr">
        <is>
          <t>NPK 8.8.6</t>
        </is>
      </c>
      <c r="B7">
        <f>COUNTIF(Leftovers!A$2:A$58,A7)</f>
        <v/>
      </c>
      <c r="C7">
        <f>COUNTIFS(Leftovers!A$2:A$58,A7,Leftovers!D$2:D$58,"closed")</f>
        <v/>
      </c>
      <c r="D7" s="5">
        <f>SUMIF(Leftovers!A$2:A$58,A7,Leftovers!K$2:K$58)</f>
        <v/>
      </c>
    </row>
    <row r="8">
      <c r="A8" t="inlineStr">
        <is>
          <t>Nitro Sulfur</t>
        </is>
      </c>
      <c r="B8">
        <f>COUNTIF(Leftovers!A$2:A$58,A8)</f>
        <v/>
      </c>
      <c r="C8">
        <f>COUNTIFS(Leftovers!A$2:A$58,A8,Leftovers!D$2:D$58,"closed")</f>
        <v/>
      </c>
      <c r="D8" s="5">
        <f>SUMIF(Leftovers!A$2:A$58,A8,Leftovers!K$2:K$58)</f>
        <v/>
      </c>
    </row>
    <row r="9">
      <c r="A9" t="inlineStr">
        <is>
          <t>Potassium Humate</t>
        </is>
      </c>
      <c r="B9">
        <f>COUNTIF(Leftovers!A$2:A$58,A9)</f>
        <v/>
      </c>
      <c r="C9">
        <f>COUNTIFS(Leftovers!A$2:A$58,A9,Leftovers!D$2:D$58,"closed")</f>
        <v/>
      </c>
      <c r="D9" s="5">
        <f>SUMIF(Leftovers!A$2:A$58,A9,Leftovers!K$2:K$58)</f>
        <v/>
      </c>
    </row>
    <row r="10">
      <c r="A10" t="inlineStr">
        <is>
          <t>Potassium Humate Liquid</t>
        </is>
      </c>
      <c r="B10">
        <f>COUNTIF(Leftovers!A$2:A$58,A10)</f>
        <v/>
      </c>
      <c r="C10">
        <f>COUNTIFS(Leftovers!A$2:A$58,A10,Leftovers!D$2:D$58,"closed")</f>
        <v/>
      </c>
      <c r="D10" s="5">
        <f>SUMIF(Leftovers!A$2:A$58,A10,Leftovers!K$2:K$58)</f>
        <v/>
      </c>
    </row>
    <row r="11">
      <c r="A11" t="inlineStr">
        <is>
          <t>Sulfur 70%</t>
        </is>
      </c>
      <c r="B11">
        <f>COUNTIF(Leftovers!A$2:A$58,A11)</f>
        <v/>
      </c>
      <c r="C11">
        <f>COUNTIFS(Leftovers!A$2:A$58,A11,Leftovers!D$2:D$58,"closed")</f>
        <v/>
      </c>
      <c r="D11" s="5">
        <f>SUMIF(Leftovers!A$2:A$58,A11,Leftovers!K$2:K$58)</f>
        <v/>
      </c>
    </row>
    <row r="12">
      <c r="A12" t="inlineStr">
        <is>
          <t>Sulfur Coated Urea</t>
        </is>
      </c>
      <c r="B12">
        <f>COUNTIF(Leftovers!A$2:A$58,A12)</f>
        <v/>
      </c>
      <c r="C12">
        <f>COUNTIFS(Leftovers!A$2:A$58,A12,Leftovers!D$2:D$58,"closed")</f>
        <v/>
      </c>
      <c r="D12" s="5">
        <f>SUMIF(Leftovers!A$2:A$58,A12,Leftovers!K$2:K$58)</f>
        <v/>
      </c>
    </row>
    <row r="13">
      <c r="A13" t="inlineStr">
        <is>
          <t>VL-Micro Mix</t>
        </is>
      </c>
      <c r="B13">
        <f>COUNTIF(Leftovers!A$2:A$58,A13)</f>
        <v/>
      </c>
      <c r="C13">
        <f>COUNTIFS(Leftovers!A$2:A$58,A13,Leftovers!D$2:D$58,"closed")</f>
        <v/>
      </c>
      <c r="D13" s="5">
        <f>SUMIF(Leftovers!A$2:A$58,A13,Leftovers!K$2:K$58)</f>
        <v/>
      </c>
    </row>
    <row r="14">
      <c r="A14" t="inlineStr">
        <is>
          <t>VL-Potash</t>
        </is>
      </c>
      <c r="B14">
        <f>COUNTIF(Leftovers!A$2:A$58,A14)</f>
        <v/>
      </c>
      <c r="C14">
        <f>COUNTIFS(Leftovers!A$2:A$58,A14,Leftovers!D$2:D$58,"closed")</f>
        <v/>
      </c>
      <c r="D14" s="5">
        <f>SUMIF(Leftovers!A$2:A$58,A14,Leftovers!K$2:K$58)</f>
        <v/>
      </c>
    </row>
    <row r="15">
      <c r="A15" t="inlineStr">
        <is>
          <t>Zinc 10%</t>
        </is>
      </c>
      <c r="B15">
        <f>COUNTIF(Leftovers!A$2:A$58,A15)</f>
        <v/>
      </c>
      <c r="C15">
        <f>COUNTIFS(Leftovers!A$2:A$58,A15,Leftovers!D$2:D$58,"closed")</f>
        <v/>
      </c>
      <c r="D15" s="5">
        <f>SUMIF(Leftovers!A$2:A$58,A15,Leftovers!K$2:K$58)</f>
        <v/>
      </c>
    </row>
    <row r="16">
      <c r="A16" t="inlineStr">
        <is>
          <t>Zinc 21%</t>
        </is>
      </c>
      <c r="B16">
        <f>COUNTIF(Leftovers!A$2:A$58,A16)</f>
        <v/>
      </c>
      <c r="C16">
        <f>COUNTIFS(Leftovers!A$2:A$58,A16,Leftovers!D$2:D$58,"closed")</f>
        <v/>
      </c>
      <c r="D16" s="5">
        <f>SUMIF(Leftovers!A$2:A$58,A16,Leftovers!K$2:K$58)</f>
        <v/>
      </c>
    </row>
    <row r="17">
      <c r="A17" s="9" t="inlineStr">
        <is>
          <t>Total</t>
        </is>
      </c>
      <c r="B17" s="10">
        <f>SUM(B2:B16)</f>
        <v/>
      </c>
      <c r="C17" s="10">
        <f>SUM(C2:C16)</f>
        <v/>
      </c>
      <c r="D17" s="10">
        <f>SUM(D2:D16)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2026-09-26T12:56:04Z</dcterms:created>
  <dcterms:modified xmlns:dcterms="http://purl.org/dc/terms/" xmlns:xsi="http://www.w3.org/2001/XMLSchema-instance" xsi:type="dcterms:W3CDTF">2026-09-26T12:56:04Z</dcterms:modified>
</cp:coreProperties>
</file>